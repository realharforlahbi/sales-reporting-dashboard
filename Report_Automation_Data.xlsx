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8.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https://d.docs.live.net/80c5fb6c2ca37245/Documenti/AFOLABI/Project/New Project/"/>
    </mc:Choice>
  </mc:AlternateContent>
  <xr:revisionPtr revIDLastSave="16" documentId="11_9CB36FC7107338CFEB3B98154B5DCE3A07465092" xr6:coauthVersionLast="47" xr6:coauthVersionMax="47" xr10:uidLastSave="{BFC5A55E-D63F-4CE4-BFB6-D5F6ED35F75B}"/>
  <bookViews>
    <workbookView xWindow="-110" yWindow="-110" windowWidth="30220" windowHeight="19500" firstSheet="1" activeTab="7" xr2:uid="{00000000-000D-0000-FFFF-FFFF00000000}"/>
  </bookViews>
  <sheets>
    <sheet name="Sales_Data" sheetId="1" r:id="rId1"/>
    <sheet name="SalesByRegion" sheetId="2" r:id="rId2"/>
    <sheet name="SalesByProductCategory" sheetId="3" r:id="rId3"/>
    <sheet name="SalesByPerson" sheetId="8" r:id="rId4"/>
    <sheet name="No of Order" sheetId="9" r:id="rId5"/>
    <sheet name="MonthlySales" sheetId="6" r:id="rId6"/>
    <sheet name="ProductPerformance" sheetId="10" r:id="rId7"/>
    <sheet name="DashBoard" sheetId="7" r:id="rId8"/>
  </sheets>
  <definedNames>
    <definedName name="Saleamount" localSheetId="7">SalesData[[#Headers],[SalesAmount]]</definedName>
    <definedName name="Saleamount" localSheetId="5">SalesData[[#Headers],[SalesAmount]]</definedName>
    <definedName name="Saleamount" localSheetId="3">SalesData[[#Headers],[SalesAmount]]</definedName>
    <definedName name="Saleamount">SalesData[[#Headers],[SalesAmount]]</definedName>
    <definedName name="SalesAmount" localSheetId="7">SalesData[[#Headers],[SalesAmount]]</definedName>
    <definedName name="SalesAmount" localSheetId="5">SalesData[[#Headers],[SalesAmount]]</definedName>
    <definedName name="SalesAmount" localSheetId="3">SalesData[[#Headers],[SalesAmount]]</definedName>
    <definedName name="SalesAmount">SalesData[[#Headers],[SalesAmount]]</definedName>
    <definedName name="Slicer_Months__Order_Date">#N/A</definedName>
    <definedName name="Slicer_Product_Category">#N/A</definedName>
    <definedName name="Slicer_Region">#N/A</definedName>
  </definedNames>
  <calcPr calcId="181029"/>
  <pivotCaches>
    <pivotCache cacheId="18"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Lst>
</workbook>
</file>

<file path=xl/calcChain.xml><?xml version="1.0" encoding="utf-8"?>
<calcChain xmlns="http://schemas.openxmlformats.org/spreadsheetml/2006/main">
  <c r="P8" i="1" l="1"/>
  <c r="P7"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P5" i="1"/>
  <c r="P4" i="1"/>
  <c r="T5" i="1"/>
  <c r="T4" i="1" l="1"/>
  <c r="P6" i="1"/>
  <c r="T6" i="1"/>
  <c r="T3" i="1"/>
  <c r="P3" i="1"/>
</calcChain>
</file>

<file path=xl/sharedStrings.xml><?xml version="1.0" encoding="utf-8"?>
<sst xmlns="http://schemas.openxmlformats.org/spreadsheetml/2006/main" count="3159" uniqueCount="640">
  <si>
    <t>Order Date</t>
  </si>
  <si>
    <t>Order ID</t>
  </si>
  <si>
    <t>Customer Name</t>
  </si>
  <si>
    <t>Region</t>
  </si>
  <si>
    <t>Product Category</t>
  </si>
  <si>
    <t>Product</t>
  </si>
  <si>
    <t>Quantity</t>
  </si>
  <si>
    <t>Unit Price</t>
  </si>
  <si>
    <t>Discount (%)</t>
  </si>
  <si>
    <t>Salesperson</t>
  </si>
  <si>
    <t>ORD10001</t>
  </si>
  <si>
    <t>Customer 47</t>
  </si>
  <si>
    <t>North</t>
  </si>
  <si>
    <t>Furniture</t>
  </si>
  <si>
    <t>Desk</t>
  </si>
  <si>
    <t>Fatima</t>
  </si>
  <si>
    <t>ORD10002</t>
  </si>
  <si>
    <t>Customer 40</t>
  </si>
  <si>
    <t>East</t>
  </si>
  <si>
    <t>Chair</t>
  </si>
  <si>
    <t>Ben</t>
  </si>
  <si>
    <t>ORD10003</t>
  </si>
  <si>
    <t>Customer 67</t>
  </si>
  <si>
    <t>West</t>
  </si>
  <si>
    <t>Accessories</t>
  </si>
  <si>
    <t>Webcam</t>
  </si>
  <si>
    <t>David</t>
  </si>
  <si>
    <t>ORD10004</t>
  </si>
  <si>
    <t>Customer 14</t>
  </si>
  <si>
    <t>Office Supplies</t>
  </si>
  <si>
    <t>Pen</t>
  </si>
  <si>
    <t>ORD10005</t>
  </si>
  <si>
    <t>Customer 22</t>
  </si>
  <si>
    <t>ORD10006</t>
  </si>
  <si>
    <t>Customer 73</t>
  </si>
  <si>
    <t>South</t>
  </si>
  <si>
    <t>Headset</t>
  </si>
  <si>
    <t>ORD10007</t>
  </si>
  <si>
    <t>Customer 48</t>
  </si>
  <si>
    <t>Printer Paper</t>
  </si>
  <si>
    <t>Chris</t>
  </si>
  <si>
    <t>ORD10008</t>
  </si>
  <si>
    <t>Customer 27</t>
  </si>
  <si>
    <t>USB Drive</t>
  </si>
  <si>
    <t>ORD10009</t>
  </si>
  <si>
    <t>ORD10010</t>
  </si>
  <si>
    <t>ORD10011</t>
  </si>
  <si>
    <t>Customer 71</t>
  </si>
  <si>
    <t>ORD10012</t>
  </si>
  <si>
    <t>Customer 60</t>
  </si>
  <si>
    <t>Electronics</t>
  </si>
  <si>
    <t>Laptop</t>
  </si>
  <si>
    <t>ORD10013</t>
  </si>
  <si>
    <t>Customer 29</t>
  </si>
  <si>
    <t>ORD10014</t>
  </si>
  <si>
    <t>Customer 72</t>
  </si>
  <si>
    <t>ORD10015</t>
  </si>
  <si>
    <t>Customer 16</t>
  </si>
  <si>
    <t>Monitor</t>
  </si>
  <si>
    <t>ORD10016</t>
  </si>
  <si>
    <t>Customer 1</t>
  </si>
  <si>
    <t>Cabinet</t>
  </si>
  <si>
    <t>ORD10017</t>
  </si>
  <si>
    <t>Mouse</t>
  </si>
  <si>
    <t>ORD10018</t>
  </si>
  <si>
    <t>Notebook</t>
  </si>
  <si>
    <t>ORD10019</t>
  </si>
  <si>
    <t>Customer 53</t>
  </si>
  <si>
    <t>ORD10020</t>
  </si>
  <si>
    <t>Customer 15</t>
  </si>
  <si>
    <t>ORD10021</t>
  </si>
  <si>
    <t>Customer 70</t>
  </si>
  <si>
    <t>Keyboard</t>
  </si>
  <si>
    <t>ORD10022</t>
  </si>
  <si>
    <t>ORD10023</t>
  </si>
  <si>
    <t>Customer 55</t>
  </si>
  <si>
    <t>Alice</t>
  </si>
  <si>
    <t>ORD10024</t>
  </si>
  <si>
    <t>Customer 5</t>
  </si>
  <si>
    <t>ORD10025</t>
  </si>
  <si>
    <t>Customer 21</t>
  </si>
  <si>
    <t>ORD10026</t>
  </si>
  <si>
    <t>Customer 17</t>
  </si>
  <si>
    <t>Emma</t>
  </si>
  <si>
    <t>ORD10027</t>
  </si>
  <si>
    <t>ORD10028</t>
  </si>
  <si>
    <t>Customer 6</t>
  </si>
  <si>
    <t>ORD10029</t>
  </si>
  <si>
    <t>ORD10030</t>
  </si>
  <si>
    <t>Customer 42</t>
  </si>
  <si>
    <t>ORD10031</t>
  </si>
  <si>
    <t>ORD10032</t>
  </si>
  <si>
    <t>ORD10033</t>
  </si>
  <si>
    <t>Customer 38</t>
  </si>
  <si>
    <t>ORD10034</t>
  </si>
  <si>
    <t>ORD10035</t>
  </si>
  <si>
    <t>Customer 51</t>
  </si>
  <si>
    <t>ORD10036</t>
  </si>
  <si>
    <t>Customer 13</t>
  </si>
  <si>
    <t>ORD10037</t>
  </si>
  <si>
    <t>Customer 28</t>
  </si>
  <si>
    <t>ORD10038</t>
  </si>
  <si>
    <t>ORD10039</t>
  </si>
  <si>
    <t>ORD10040</t>
  </si>
  <si>
    <t>Customer 34</t>
  </si>
  <si>
    <t>ORD10041</t>
  </si>
  <si>
    <t>Customer 2</t>
  </si>
  <si>
    <t>ORD10042</t>
  </si>
  <si>
    <t>ORD10043</t>
  </si>
  <si>
    <t>Customer 45</t>
  </si>
  <si>
    <t>ORD10044</t>
  </si>
  <si>
    <t>ORD10045</t>
  </si>
  <si>
    <t>Customer 36</t>
  </si>
  <si>
    <t>ORD10046</t>
  </si>
  <si>
    <t>Customer 43</t>
  </si>
  <si>
    <t>ORD10047</t>
  </si>
  <si>
    <t>ORD10048</t>
  </si>
  <si>
    <t>ORD10049</t>
  </si>
  <si>
    <t>ORD10050</t>
  </si>
  <si>
    <t>ORD10051</t>
  </si>
  <si>
    <t>Customer 44</t>
  </si>
  <si>
    <t>ORD10052</t>
  </si>
  <si>
    <t>Customer 32</t>
  </si>
  <si>
    <t>ORD10053</t>
  </si>
  <si>
    <t>ORD10054</t>
  </si>
  <si>
    <t>Customer 46</t>
  </si>
  <si>
    <t>ORD10055</t>
  </si>
  <si>
    <t>ORD10056</t>
  </si>
  <si>
    <t>ORD10057</t>
  </si>
  <si>
    <t>ORD10058</t>
  </si>
  <si>
    <t>ORD10059</t>
  </si>
  <si>
    <t>Customer 35</t>
  </si>
  <si>
    <t>ORD10060</t>
  </si>
  <si>
    <t>ORD10061</t>
  </si>
  <si>
    <t>ORD10062</t>
  </si>
  <si>
    <t>Customer 18</t>
  </si>
  <si>
    <t>ORD10063</t>
  </si>
  <si>
    <t>ORD10064</t>
  </si>
  <si>
    <t>Customer 58</t>
  </si>
  <si>
    <t>ORD10065</t>
  </si>
  <si>
    <t>ORD10066</t>
  </si>
  <si>
    <t>Customer 12</t>
  </si>
  <si>
    <t>ORD10067</t>
  </si>
  <si>
    <t>Customer 30</t>
  </si>
  <si>
    <t>ORD10068</t>
  </si>
  <si>
    <t>ORD10069</t>
  </si>
  <si>
    <t>ORD10070</t>
  </si>
  <si>
    <t>Customer 49</t>
  </si>
  <si>
    <t>ORD10071</t>
  </si>
  <si>
    <t>Customer 59</t>
  </si>
  <si>
    <t>ORD10072</t>
  </si>
  <si>
    <t>Customer 75</t>
  </si>
  <si>
    <t>ORD10073</t>
  </si>
  <si>
    <t>ORD10074</t>
  </si>
  <si>
    <t>ORD10075</t>
  </si>
  <si>
    <t>Customer 39</t>
  </si>
  <si>
    <t>ORD10076</t>
  </si>
  <si>
    <t>ORD10077</t>
  </si>
  <si>
    <t>ORD10078</t>
  </si>
  <si>
    <t>ORD10079</t>
  </si>
  <si>
    <t>Customer 31</t>
  </si>
  <si>
    <t>ORD10080</t>
  </si>
  <si>
    <t>ORD10081</t>
  </si>
  <si>
    <t>ORD10082</t>
  </si>
  <si>
    <t>Customer 19</t>
  </si>
  <si>
    <t>ORD10083</t>
  </si>
  <si>
    <t>Customer 76</t>
  </si>
  <si>
    <t>ORD10084</t>
  </si>
  <si>
    <t>ORD10085</t>
  </si>
  <si>
    <t>ORD10086</t>
  </si>
  <si>
    <t>ORD10087</t>
  </si>
  <si>
    <t>ORD10088</t>
  </si>
  <si>
    <t>ORD10089</t>
  </si>
  <si>
    <t>Customer 79</t>
  </si>
  <si>
    <t>ORD10090</t>
  </si>
  <si>
    <t>Customer 11</t>
  </si>
  <si>
    <t>ORD10091</t>
  </si>
  <si>
    <t>Customer 9</t>
  </si>
  <si>
    <t>ORD10092</t>
  </si>
  <si>
    <t>Customer 26</t>
  </si>
  <si>
    <t>ORD10093</t>
  </si>
  <si>
    <t>Customer 20</t>
  </si>
  <si>
    <t>ORD10094</t>
  </si>
  <si>
    <t>ORD10095</t>
  </si>
  <si>
    <t>Customer 24</t>
  </si>
  <si>
    <t>ORD10096</t>
  </si>
  <si>
    <t>ORD10097</t>
  </si>
  <si>
    <t>Customer 56</t>
  </si>
  <si>
    <t>ORD10098</t>
  </si>
  <si>
    <t>Customer 25</t>
  </si>
  <si>
    <t>ORD10099</t>
  </si>
  <si>
    <t>Customer 69</t>
  </si>
  <si>
    <t>ORD10100</t>
  </si>
  <si>
    <t>ORD10101</t>
  </si>
  <si>
    <t>Customer 4</t>
  </si>
  <si>
    <t>ORD10102</t>
  </si>
  <si>
    <t>ORD10103</t>
  </si>
  <si>
    <t>ORD10104</t>
  </si>
  <si>
    <t>ORD10105</t>
  </si>
  <si>
    <t>ORD10106</t>
  </si>
  <si>
    <t>ORD10107</t>
  </si>
  <si>
    <t>ORD10108</t>
  </si>
  <si>
    <t>Customer 8</t>
  </si>
  <si>
    <t>ORD10109</t>
  </si>
  <si>
    <t>ORD10110</t>
  </si>
  <si>
    <t>ORD10111</t>
  </si>
  <si>
    <t>ORD10112</t>
  </si>
  <si>
    <t>ORD10113</t>
  </si>
  <si>
    <t>ORD10114</t>
  </si>
  <si>
    <t>ORD10115</t>
  </si>
  <si>
    <t>ORD10116</t>
  </si>
  <si>
    <t>ORD10117</t>
  </si>
  <si>
    <t>ORD10118</t>
  </si>
  <si>
    <t>ORD10119</t>
  </si>
  <si>
    <t>Customer 65</t>
  </si>
  <si>
    <t>ORD10120</t>
  </si>
  <si>
    <t>ORD10121</t>
  </si>
  <si>
    <t>ORD10122</t>
  </si>
  <si>
    <t>ORD10123</t>
  </si>
  <si>
    <t>Customer 23</t>
  </si>
  <si>
    <t>ORD10124</t>
  </si>
  <si>
    <t>ORD10125</t>
  </si>
  <si>
    <t>Customer 50</t>
  </si>
  <si>
    <t>ORD10126</t>
  </si>
  <si>
    <t>ORD10127</t>
  </si>
  <si>
    <t>ORD10128</t>
  </si>
  <si>
    <t>ORD10129</t>
  </si>
  <si>
    <t>ORD10130</t>
  </si>
  <si>
    <t>ORD10131</t>
  </si>
  <si>
    <t>ORD10132</t>
  </si>
  <si>
    <t>ORD10133</t>
  </si>
  <si>
    <t>ORD10134</t>
  </si>
  <si>
    <t>Customer 80</t>
  </si>
  <si>
    <t>ORD10135</t>
  </si>
  <si>
    <t>ORD10136</t>
  </si>
  <si>
    <t>ORD10137</t>
  </si>
  <si>
    <t>ORD10138</t>
  </si>
  <si>
    <t>ORD10139</t>
  </si>
  <si>
    <t>ORD10140</t>
  </si>
  <si>
    <t>ORD10141</t>
  </si>
  <si>
    <t>ORD10142</t>
  </si>
  <si>
    <t>ORD10143</t>
  </si>
  <si>
    <t>Customer 78</t>
  </si>
  <si>
    <t>ORD10144</t>
  </si>
  <si>
    <t>ORD10145</t>
  </si>
  <si>
    <t>ORD10146</t>
  </si>
  <si>
    <t>ORD10147</t>
  </si>
  <si>
    <t>Customer 41</t>
  </si>
  <si>
    <t>ORD10148</t>
  </si>
  <si>
    <t>ORD10149</t>
  </si>
  <si>
    <t>Customer 52</t>
  </si>
  <si>
    <t>ORD10150</t>
  </si>
  <si>
    <t>ORD10151</t>
  </si>
  <si>
    <t>ORD10152</t>
  </si>
  <si>
    <t>ORD10153</t>
  </si>
  <si>
    <t>ORD10154</t>
  </si>
  <si>
    <t>ORD10155</t>
  </si>
  <si>
    <t>ORD10156</t>
  </si>
  <si>
    <t>ORD10157</t>
  </si>
  <si>
    <t>ORD10158</t>
  </si>
  <si>
    <t>Customer 62</t>
  </si>
  <si>
    <t>ORD10159</t>
  </si>
  <si>
    <t>ORD10160</t>
  </si>
  <si>
    <t>ORD10161</t>
  </si>
  <si>
    <t>ORD10162</t>
  </si>
  <si>
    <t>ORD10163</t>
  </si>
  <si>
    <t>Customer 10</t>
  </si>
  <si>
    <t>ORD10164</t>
  </si>
  <si>
    <t>Customer 64</t>
  </si>
  <si>
    <t>ORD10165</t>
  </si>
  <si>
    <t>ORD10166</t>
  </si>
  <si>
    <t>Customer 33</t>
  </si>
  <si>
    <t>ORD10167</t>
  </si>
  <si>
    <t>ORD10168</t>
  </si>
  <si>
    <t>ORD10169</t>
  </si>
  <si>
    <t>ORD10170</t>
  </si>
  <si>
    <t>ORD10171</t>
  </si>
  <si>
    <t>ORD10172</t>
  </si>
  <si>
    <t>Customer 63</t>
  </si>
  <si>
    <t>ORD10173</t>
  </si>
  <si>
    <t>ORD10174</t>
  </si>
  <si>
    <t>ORD10175</t>
  </si>
  <si>
    <t>ORD10176</t>
  </si>
  <si>
    <t>ORD10177</t>
  </si>
  <si>
    <t>Customer 37</t>
  </si>
  <si>
    <t>ORD10178</t>
  </si>
  <si>
    <t>ORD10179</t>
  </si>
  <si>
    <t>ORD10180</t>
  </si>
  <si>
    <t>ORD10181</t>
  </si>
  <si>
    <t>Customer 54</t>
  </si>
  <si>
    <t>ORD10182</t>
  </si>
  <si>
    <t>ORD10183</t>
  </si>
  <si>
    <t>ORD10184</t>
  </si>
  <si>
    <t>ORD10185</t>
  </si>
  <si>
    <t>ORD10186</t>
  </si>
  <si>
    <t>Customer 68</t>
  </si>
  <si>
    <t>ORD10187</t>
  </si>
  <si>
    <t>ORD10188</t>
  </si>
  <si>
    <t>ORD10189</t>
  </si>
  <si>
    <t>ORD10190</t>
  </si>
  <si>
    <t>Customer 57</t>
  </si>
  <si>
    <t>ORD10191</t>
  </si>
  <si>
    <t>ORD10192</t>
  </si>
  <si>
    <t>ORD10193</t>
  </si>
  <si>
    <t>ORD10194</t>
  </si>
  <si>
    <t>ORD10195</t>
  </si>
  <si>
    <t>ORD10196</t>
  </si>
  <si>
    <t>ORD10197</t>
  </si>
  <si>
    <t>ORD10198</t>
  </si>
  <si>
    <t>ORD10199</t>
  </si>
  <si>
    <t>ORD10200</t>
  </si>
  <si>
    <t>ORD10201</t>
  </si>
  <si>
    <t>ORD10202</t>
  </si>
  <si>
    <t>ORD10203</t>
  </si>
  <si>
    <t>ORD10204</t>
  </si>
  <si>
    <t>Customer 66</t>
  </si>
  <si>
    <t>ORD10205</t>
  </si>
  <si>
    <t>ORD10206</t>
  </si>
  <si>
    <t>ORD10207</t>
  </si>
  <si>
    <t>ORD10208</t>
  </si>
  <si>
    <t>ORD10209</t>
  </si>
  <si>
    <t>Customer 7</t>
  </si>
  <si>
    <t>ORD10210</t>
  </si>
  <si>
    <t>Customer 74</t>
  </si>
  <si>
    <t>ORD10211</t>
  </si>
  <si>
    <t>ORD10212</t>
  </si>
  <si>
    <t>ORD10213</t>
  </si>
  <si>
    <t>ORD10214</t>
  </si>
  <si>
    <t>ORD10215</t>
  </si>
  <si>
    <t>ORD10216</t>
  </si>
  <si>
    <t>ORD10217</t>
  </si>
  <si>
    <t>ORD10218</t>
  </si>
  <si>
    <t>ORD10219</t>
  </si>
  <si>
    <t>ORD10220</t>
  </si>
  <si>
    <t>ORD10221</t>
  </si>
  <si>
    <t>ORD10222</t>
  </si>
  <si>
    <t>ORD10223</t>
  </si>
  <si>
    <t>Customer 3</t>
  </si>
  <si>
    <t>ORD10224</t>
  </si>
  <si>
    <t>ORD10225</t>
  </si>
  <si>
    <t>ORD10226</t>
  </si>
  <si>
    <t>ORD10227</t>
  </si>
  <si>
    <t>ORD10228</t>
  </si>
  <si>
    <t>ORD10229</t>
  </si>
  <si>
    <t>ORD10230</t>
  </si>
  <si>
    <t>ORD10231</t>
  </si>
  <si>
    <t>ORD10232</t>
  </si>
  <si>
    <t>ORD10233</t>
  </si>
  <si>
    <t>ORD10234</t>
  </si>
  <si>
    <t>ORD10235</t>
  </si>
  <si>
    <t>ORD10236</t>
  </si>
  <si>
    <t>ORD10237</t>
  </si>
  <si>
    <t>ORD10238</t>
  </si>
  <si>
    <t>ORD10239</t>
  </si>
  <si>
    <t>ORD10240</t>
  </si>
  <si>
    <t>ORD10241</t>
  </si>
  <si>
    <t>ORD10242</t>
  </si>
  <si>
    <t>ORD10243</t>
  </si>
  <si>
    <t>ORD10244</t>
  </si>
  <si>
    <t>Customer 61</t>
  </si>
  <si>
    <t>ORD10245</t>
  </si>
  <si>
    <t>ORD10246</t>
  </si>
  <si>
    <t>ORD10247</t>
  </si>
  <si>
    <t>ORD10248</t>
  </si>
  <si>
    <t>ORD10249</t>
  </si>
  <si>
    <t>ORD10250</t>
  </si>
  <si>
    <t>ORD10251</t>
  </si>
  <si>
    <t>ORD10252</t>
  </si>
  <si>
    <t>ORD10253</t>
  </si>
  <si>
    <t>ORD10254</t>
  </si>
  <si>
    <t>ORD10255</t>
  </si>
  <si>
    <t>ORD10256</t>
  </si>
  <si>
    <t>ORD10257</t>
  </si>
  <si>
    <t>ORD10258</t>
  </si>
  <si>
    <t>ORD10259</t>
  </si>
  <si>
    <t>ORD10260</t>
  </si>
  <si>
    <t>ORD10261</t>
  </si>
  <si>
    <t>ORD10262</t>
  </si>
  <si>
    <t>ORD10263</t>
  </si>
  <si>
    <t>ORD10264</t>
  </si>
  <si>
    <t>ORD10265</t>
  </si>
  <si>
    <t>ORD10266</t>
  </si>
  <si>
    <t>ORD10267</t>
  </si>
  <si>
    <t>ORD10268</t>
  </si>
  <si>
    <t>ORD10269</t>
  </si>
  <si>
    <t>ORD10270</t>
  </si>
  <si>
    <t>ORD10271</t>
  </si>
  <si>
    <t>ORD10272</t>
  </si>
  <si>
    <t>ORD10273</t>
  </si>
  <si>
    <t>ORD10274</t>
  </si>
  <si>
    <t>ORD10275</t>
  </si>
  <si>
    <t>ORD10276</t>
  </si>
  <si>
    <t>ORD10277</t>
  </si>
  <si>
    <t>ORD10278</t>
  </si>
  <si>
    <t>ORD10279</t>
  </si>
  <si>
    <t>ORD10280</t>
  </si>
  <si>
    <t>ORD10281</t>
  </si>
  <si>
    <t>ORD10282</t>
  </si>
  <si>
    <t>ORD10283</t>
  </si>
  <si>
    <t>ORD10284</t>
  </si>
  <si>
    <t>ORD10285</t>
  </si>
  <si>
    <t>ORD10286</t>
  </si>
  <si>
    <t>ORD10287</t>
  </si>
  <si>
    <t>ORD10288</t>
  </si>
  <si>
    <t>ORD10289</t>
  </si>
  <si>
    <t>ORD10290</t>
  </si>
  <si>
    <t>ORD10291</t>
  </si>
  <si>
    <t>ORD10292</t>
  </si>
  <si>
    <t>ORD10293</t>
  </si>
  <si>
    <t>ORD10294</t>
  </si>
  <si>
    <t>ORD10295</t>
  </si>
  <si>
    <t>ORD10296</t>
  </si>
  <si>
    <t>ORD10297</t>
  </si>
  <si>
    <t>Customer 77</t>
  </si>
  <si>
    <t>ORD10298</t>
  </si>
  <si>
    <t>ORD10299</t>
  </si>
  <si>
    <t>ORD10300</t>
  </si>
  <si>
    <t>ORD10301</t>
  </si>
  <si>
    <t>ORD10302</t>
  </si>
  <si>
    <t>ORD10303</t>
  </si>
  <si>
    <t>ORD10304</t>
  </si>
  <si>
    <t>ORD10305</t>
  </si>
  <si>
    <t>ORD10306</t>
  </si>
  <si>
    <t>ORD10307</t>
  </si>
  <si>
    <t>ORD10308</t>
  </si>
  <si>
    <t>ORD10309</t>
  </si>
  <si>
    <t>ORD10310</t>
  </si>
  <si>
    <t>ORD10311</t>
  </si>
  <si>
    <t>ORD10312</t>
  </si>
  <si>
    <t>ORD10313</t>
  </si>
  <si>
    <t>ORD10314</t>
  </si>
  <si>
    <t>ORD10315</t>
  </si>
  <si>
    <t>ORD10316</t>
  </si>
  <si>
    <t>ORD10317</t>
  </si>
  <si>
    <t>ORD10318</t>
  </si>
  <si>
    <t>ORD10319</t>
  </si>
  <si>
    <t>ORD10320</t>
  </si>
  <si>
    <t>ORD10321</t>
  </si>
  <si>
    <t>ORD10322</t>
  </si>
  <si>
    <t>ORD10323</t>
  </si>
  <si>
    <t>ORD10324</t>
  </si>
  <si>
    <t>ORD10325</t>
  </si>
  <si>
    <t>ORD10326</t>
  </si>
  <si>
    <t>ORD10327</t>
  </si>
  <si>
    <t>ORD10328</t>
  </si>
  <si>
    <t>ORD10329</t>
  </si>
  <si>
    <t>ORD10330</t>
  </si>
  <si>
    <t>ORD10331</t>
  </si>
  <si>
    <t>ORD10332</t>
  </si>
  <si>
    <t>ORD10333</t>
  </si>
  <si>
    <t>ORD10334</t>
  </si>
  <si>
    <t>ORD10335</t>
  </si>
  <si>
    <t>ORD10336</t>
  </si>
  <si>
    <t>ORD10337</t>
  </si>
  <si>
    <t>ORD10338</t>
  </si>
  <si>
    <t>ORD10339</t>
  </si>
  <si>
    <t>ORD10340</t>
  </si>
  <si>
    <t>ORD10341</t>
  </si>
  <si>
    <t>ORD10342</t>
  </si>
  <si>
    <t>ORD10343</t>
  </si>
  <si>
    <t>ORD10344</t>
  </si>
  <si>
    <t>ORD10345</t>
  </si>
  <si>
    <t>ORD10346</t>
  </si>
  <si>
    <t>ORD10347</t>
  </si>
  <si>
    <t>ORD10348</t>
  </si>
  <si>
    <t>ORD10349</t>
  </si>
  <si>
    <t>ORD10350</t>
  </si>
  <si>
    <t>ORD10351</t>
  </si>
  <si>
    <t>ORD10352</t>
  </si>
  <si>
    <t>ORD10353</t>
  </si>
  <si>
    <t>ORD10354</t>
  </si>
  <si>
    <t>ORD10355</t>
  </si>
  <si>
    <t>ORD10356</t>
  </si>
  <si>
    <t>ORD10357</t>
  </si>
  <si>
    <t>ORD10358</t>
  </si>
  <si>
    <t>ORD10359</t>
  </si>
  <si>
    <t>ORD10360</t>
  </si>
  <si>
    <t>ORD10361</t>
  </si>
  <si>
    <t>ORD10362</t>
  </si>
  <si>
    <t>ORD10363</t>
  </si>
  <si>
    <t>ORD10364</t>
  </si>
  <si>
    <t>ORD10365</t>
  </si>
  <si>
    <t>ORD10366</t>
  </si>
  <si>
    <t>ORD10367</t>
  </si>
  <si>
    <t>ORD10368</t>
  </si>
  <si>
    <t>ORD10369</t>
  </si>
  <si>
    <t>ORD10370</t>
  </si>
  <si>
    <t>ORD10371</t>
  </si>
  <si>
    <t>ORD10372</t>
  </si>
  <si>
    <t>ORD10373</t>
  </si>
  <si>
    <t>ORD10374</t>
  </si>
  <si>
    <t>ORD10375</t>
  </si>
  <si>
    <t>ORD10376</t>
  </si>
  <si>
    <t>ORD10377</t>
  </si>
  <si>
    <t>ORD10378</t>
  </si>
  <si>
    <t>ORD10379</t>
  </si>
  <si>
    <t>ORD10380</t>
  </si>
  <si>
    <t>ORD10381</t>
  </si>
  <si>
    <t>ORD10382</t>
  </si>
  <si>
    <t>ORD10383</t>
  </si>
  <si>
    <t>ORD10384</t>
  </si>
  <si>
    <t>ORD10385</t>
  </si>
  <si>
    <t>ORD10386</t>
  </si>
  <si>
    <t>ORD10387</t>
  </si>
  <si>
    <t>ORD10388</t>
  </si>
  <si>
    <t>ORD10389</t>
  </si>
  <si>
    <t>ORD10390</t>
  </si>
  <si>
    <t>ORD10391</t>
  </si>
  <si>
    <t>ORD10392</t>
  </si>
  <si>
    <t>ORD10393</t>
  </si>
  <si>
    <t>ORD10394</t>
  </si>
  <si>
    <t>ORD10395</t>
  </si>
  <si>
    <t>ORD10396</t>
  </si>
  <si>
    <t>ORD10397</t>
  </si>
  <si>
    <t>ORD10398</t>
  </si>
  <si>
    <t>ORD10399</t>
  </si>
  <si>
    <t>ORD10400</t>
  </si>
  <si>
    <t>ORD10401</t>
  </si>
  <si>
    <t>ORD10402</t>
  </si>
  <si>
    <t>ORD10403</t>
  </si>
  <si>
    <t>ORD10404</t>
  </si>
  <si>
    <t>ORD10405</t>
  </si>
  <si>
    <t>ORD10406</t>
  </si>
  <si>
    <t>ORD10407</t>
  </si>
  <si>
    <t>ORD10408</t>
  </si>
  <si>
    <t>ORD10409</t>
  </si>
  <si>
    <t>ORD10410</t>
  </si>
  <si>
    <t>ORD10411</t>
  </si>
  <si>
    <t>ORD10412</t>
  </si>
  <si>
    <t>ORD10413</t>
  </si>
  <si>
    <t>ORD10414</t>
  </si>
  <si>
    <t>ORD10415</t>
  </si>
  <si>
    <t>ORD10416</t>
  </si>
  <si>
    <t>ORD10417</t>
  </si>
  <si>
    <t>ORD10418</t>
  </si>
  <si>
    <t>ORD10419</t>
  </si>
  <si>
    <t>ORD10420</t>
  </si>
  <si>
    <t>ORD10421</t>
  </si>
  <si>
    <t>ORD10422</t>
  </si>
  <si>
    <t>ORD10423</t>
  </si>
  <si>
    <t>ORD10424</t>
  </si>
  <si>
    <t>ORD10425</t>
  </si>
  <si>
    <t>ORD10426</t>
  </si>
  <si>
    <t>ORD10427</t>
  </si>
  <si>
    <t>ORD10428</t>
  </si>
  <si>
    <t>ORD10429</t>
  </si>
  <si>
    <t>ORD10430</t>
  </si>
  <si>
    <t>ORD10431</t>
  </si>
  <si>
    <t>ORD10432</t>
  </si>
  <si>
    <t>ORD10433</t>
  </si>
  <si>
    <t>ORD10434</t>
  </si>
  <si>
    <t>ORD10435</t>
  </si>
  <si>
    <t>ORD10436</t>
  </si>
  <si>
    <t>ORD10437</t>
  </si>
  <si>
    <t>ORD10438</t>
  </si>
  <si>
    <t>ORD10439</t>
  </si>
  <si>
    <t>ORD10440</t>
  </si>
  <si>
    <t>ORD10441</t>
  </si>
  <si>
    <t>ORD10442</t>
  </si>
  <si>
    <t>ORD10443</t>
  </si>
  <si>
    <t>ORD10444</t>
  </si>
  <si>
    <t>ORD10445</t>
  </si>
  <si>
    <t>ORD10446</t>
  </si>
  <si>
    <t>ORD10447</t>
  </si>
  <si>
    <t>ORD10448</t>
  </si>
  <si>
    <t>ORD10449</t>
  </si>
  <si>
    <t>ORD10450</t>
  </si>
  <si>
    <t>ORD10451</t>
  </si>
  <si>
    <t>ORD10452</t>
  </si>
  <si>
    <t>ORD10453</t>
  </si>
  <si>
    <t>ORD10454</t>
  </si>
  <si>
    <t>ORD10455</t>
  </si>
  <si>
    <t>ORD10456</t>
  </si>
  <si>
    <t>ORD10457</t>
  </si>
  <si>
    <t>ORD10458</t>
  </si>
  <si>
    <t>ORD10459</t>
  </si>
  <si>
    <t>ORD10460</t>
  </si>
  <si>
    <t>ORD10461</t>
  </si>
  <si>
    <t>ORD10462</t>
  </si>
  <si>
    <t>ORD10463</t>
  </si>
  <si>
    <t>ORD10464</t>
  </si>
  <si>
    <t>ORD10465</t>
  </si>
  <si>
    <t>ORD10466</t>
  </si>
  <si>
    <t>ORD10467</t>
  </si>
  <si>
    <t>ORD10468</t>
  </si>
  <si>
    <t>ORD10469</t>
  </si>
  <si>
    <t>ORD10470</t>
  </si>
  <si>
    <t>ORD10471</t>
  </si>
  <si>
    <t>ORD10472</t>
  </si>
  <si>
    <t>ORD10473</t>
  </si>
  <si>
    <t>ORD10474</t>
  </si>
  <si>
    <t>ORD10475</t>
  </si>
  <si>
    <t>ORD10476</t>
  </si>
  <si>
    <t>ORD10477</t>
  </si>
  <si>
    <t>ORD10478</t>
  </si>
  <si>
    <t>ORD10479</t>
  </si>
  <si>
    <t>ORD10480</t>
  </si>
  <si>
    <t>ORD10481</t>
  </si>
  <si>
    <t>ORD10482</t>
  </si>
  <si>
    <t>ORD10483</t>
  </si>
  <si>
    <t>ORD10484</t>
  </si>
  <si>
    <t>ORD10485</t>
  </si>
  <si>
    <t>ORD10486</t>
  </si>
  <si>
    <t>ORD10487</t>
  </si>
  <si>
    <t>ORD10488</t>
  </si>
  <si>
    <t>ORD10489</t>
  </si>
  <si>
    <t>ORD10490</t>
  </si>
  <si>
    <t>ORD10491</t>
  </si>
  <si>
    <t>ORD10492</t>
  </si>
  <si>
    <t>ORD10493</t>
  </si>
  <si>
    <t>ORD10494</t>
  </si>
  <si>
    <t>ORD10495</t>
  </si>
  <si>
    <t>ORD10496</t>
  </si>
  <si>
    <t>ORD10497</t>
  </si>
  <si>
    <t>ORD10498</t>
  </si>
  <si>
    <t>ORD10499</t>
  </si>
  <si>
    <t>ORD10500</t>
  </si>
  <si>
    <t>SalesAmount</t>
  </si>
  <si>
    <t>KPI</t>
  </si>
  <si>
    <t>TotalSales</t>
  </si>
  <si>
    <t>TotalOrders</t>
  </si>
  <si>
    <t>TotalQuantitySold</t>
  </si>
  <si>
    <t>Average Sales</t>
  </si>
  <si>
    <t>Row Labels</t>
  </si>
  <si>
    <t>Grand Total</t>
  </si>
  <si>
    <t>Sum of SalesAmount</t>
  </si>
  <si>
    <t>AverageSales by Region</t>
  </si>
  <si>
    <t>Jan</t>
  </si>
  <si>
    <t>Feb</t>
  </si>
  <si>
    <t>Mar</t>
  </si>
  <si>
    <t>Apr</t>
  </si>
  <si>
    <t>May</t>
  </si>
  <si>
    <t>Jun</t>
  </si>
  <si>
    <t>Jul</t>
  </si>
  <si>
    <t>Total UnitPrice</t>
  </si>
  <si>
    <t>MostSales By Persons</t>
  </si>
  <si>
    <t>MostSales By Region</t>
  </si>
  <si>
    <t>Count of Order ID</t>
  </si>
  <si>
    <t>AverageUnitPrice</t>
  </si>
  <si>
    <t>% of TotalSales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</si>
</sst>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 x14ac:knownFonts="1">
    <font>
      <sz val="11"/>
      <color theme="1"/>
      <name val="Tw Cen MT"/>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0" fillId="0" borderId="0" xfId="0" applyAlignment="1">
      <alignment horizontal="center" vertical="center"/>
    </xf>
    <xf numFmtId="164" fontId="0" fillId="0" borderId="0" xfId="0" applyNumberFormat="1" applyAlignment="1">
      <alignment horizontal="center" vertical="center"/>
    </xf>
    <xf numFmtId="0" fontId="0" fillId="0" borderId="0" xfId="0" pivotButton="1"/>
    <xf numFmtId="0" fontId="0" fillId="0" borderId="0" xfId="0" applyAlignment="1">
      <alignment horizontal="left"/>
    </xf>
    <xf numFmtId="164" fontId="0" fillId="0" borderId="0" xfId="0" applyNumberFormat="1"/>
    <xf numFmtId="14" fontId="0" fillId="0" borderId="0" xfId="0" applyNumberFormat="1" applyAlignment="1">
      <alignment horizontal="center" vertical="center"/>
    </xf>
    <xf numFmtId="10" fontId="0" fillId="0" borderId="0" xfId="0" applyNumberFormat="1"/>
    <xf numFmtId="0" fontId="0" fillId="0" borderId="0" xfId="0" applyNumberFormat="1"/>
  </cellXfs>
  <cellStyles count="1">
    <cellStyle name="Normal" xfId="0" builtinId="0"/>
  </cellStyles>
  <dxfs count="13">
    <dxf>
      <numFmt numFmtId="164" formatCode="&quot;$&quot;#,##0.0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64" formatCode="&quot;$&quot;#,##0.0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AverageSalesByRegion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Sales_Data!$R$3:$S$6</c:f>
              <c:multiLvlStrCache>
                <c:ptCount val="4"/>
                <c:lvl>
                  <c:pt idx="0">
                    <c:v>North</c:v>
                  </c:pt>
                  <c:pt idx="1">
                    <c:v>West</c:v>
                  </c:pt>
                  <c:pt idx="2">
                    <c:v>East</c:v>
                  </c:pt>
                  <c:pt idx="3">
                    <c:v>South</c:v>
                  </c:pt>
                </c:lvl>
                <c:lvl>
                  <c:pt idx="0">
                    <c:v>AverageSales by Region</c:v>
                  </c:pt>
                </c:lvl>
              </c:multiLvlStrCache>
            </c:multiLvlStrRef>
          </c:cat>
          <c:val>
            <c:numRef>
              <c:f>Sales_Data!$T$3:$T$6</c:f>
              <c:numCache>
                <c:formatCode>"$"#,##0.00</c:formatCode>
                <c:ptCount val="4"/>
                <c:pt idx="0">
                  <c:v>3200.1668021582732</c:v>
                </c:pt>
                <c:pt idx="1">
                  <c:v>3144.9577170542639</c:v>
                </c:pt>
                <c:pt idx="2">
                  <c:v>3722.750961206897</c:v>
                </c:pt>
                <c:pt idx="3">
                  <c:v>2687.1190215517258</c:v>
                </c:pt>
              </c:numCache>
            </c:numRef>
          </c:val>
          <c:extLst>
            <c:ext xmlns:c16="http://schemas.microsoft.com/office/drawing/2014/chart" uri="{C3380CC4-5D6E-409C-BE32-E72D297353CC}">
              <c16:uniqueId val="{00000000-C6E5-4BFD-A68D-761248F140F3}"/>
            </c:ext>
          </c:extLst>
        </c:ser>
        <c:dLbls>
          <c:dLblPos val="outEnd"/>
          <c:showLegendKey val="0"/>
          <c:showVal val="1"/>
          <c:showCatName val="0"/>
          <c:showSerName val="0"/>
          <c:showPercent val="0"/>
          <c:showBubbleSize val="0"/>
        </c:dLbls>
        <c:gapWidth val="219"/>
        <c:overlap val="-27"/>
        <c:axId val="350942776"/>
        <c:axId val="350943136"/>
      </c:barChart>
      <c:catAx>
        <c:axId val="350942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0943136"/>
        <c:crosses val="autoZero"/>
        <c:auto val="1"/>
        <c:lblAlgn val="ctr"/>
        <c:lblOffset val="100"/>
        <c:noMultiLvlLbl val="0"/>
      </c:catAx>
      <c:valAx>
        <c:axId val="35094313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0942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[Report Automation Data .xlsx]SalesByRegion!PivotTable1</c:name>
    <c:fmtId val="2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SalesByRegion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SalesByRegion!$C$4</c:f>
              <c:strCache>
                <c:ptCount val="1"/>
                <c:pt idx="0">
                  <c:v>Total</c:v>
                </c:pt>
              </c:strCache>
            </c:strRef>
          </c:tx>
          <c:spPr>
            <a:solidFill>
              <a:schemeClr val="accent1"/>
            </a:solidFill>
            <a:ln>
              <a:noFill/>
            </a:ln>
            <a:effectLst/>
          </c:spPr>
          <c:invertIfNegative val="0"/>
          <c:cat>
            <c:strRef>
              <c:f>SalesByRegion!$B$5:$B$9</c:f>
              <c:strCache>
                <c:ptCount val="4"/>
                <c:pt idx="0">
                  <c:v>East</c:v>
                </c:pt>
                <c:pt idx="1">
                  <c:v>North</c:v>
                </c:pt>
                <c:pt idx="2">
                  <c:v>South</c:v>
                </c:pt>
                <c:pt idx="3">
                  <c:v>West</c:v>
                </c:pt>
              </c:strCache>
            </c:strRef>
          </c:cat>
          <c:val>
            <c:numRef>
              <c:f>SalesByRegion!$C$5:$C$9</c:f>
              <c:numCache>
                <c:formatCode>"$"#,##0.00</c:formatCode>
                <c:ptCount val="4"/>
                <c:pt idx="0">
                  <c:v>431839.11150000006</c:v>
                </c:pt>
                <c:pt idx="1">
                  <c:v>444823.18549999996</c:v>
                </c:pt>
                <c:pt idx="2">
                  <c:v>311705.80650000018</c:v>
                </c:pt>
                <c:pt idx="3">
                  <c:v>405699.54550000007</c:v>
                </c:pt>
              </c:numCache>
            </c:numRef>
          </c:val>
          <c:extLst>
            <c:ext xmlns:c16="http://schemas.microsoft.com/office/drawing/2014/chart" uri="{C3380CC4-5D6E-409C-BE32-E72D297353CC}">
              <c16:uniqueId val="{00000000-208F-4782-8CE9-E403EEE8F8EB}"/>
            </c:ext>
          </c:extLst>
        </c:ser>
        <c:dLbls>
          <c:showLegendKey val="0"/>
          <c:showVal val="0"/>
          <c:showCatName val="0"/>
          <c:showSerName val="0"/>
          <c:showPercent val="0"/>
          <c:showBubbleSize val="0"/>
        </c:dLbls>
        <c:gapWidth val="182"/>
        <c:axId val="350941696"/>
        <c:axId val="350948896"/>
      </c:barChart>
      <c:catAx>
        <c:axId val="3509416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0948896"/>
        <c:crosses val="autoZero"/>
        <c:auto val="1"/>
        <c:lblAlgn val="ctr"/>
        <c:lblOffset val="100"/>
        <c:noMultiLvlLbl val="0"/>
      </c:catAx>
      <c:valAx>
        <c:axId val="350948896"/>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0941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[Report Automation Data .xlsx]SalesByProductCategory!PivotTable3</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ProductCategory Performance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SalesByProductCategory!$C$5</c:f>
              <c:strCache>
                <c:ptCount val="1"/>
                <c:pt idx="0">
                  <c:v>Total</c:v>
                </c:pt>
              </c:strCache>
            </c:strRef>
          </c:tx>
          <c:spPr>
            <a:solidFill>
              <a:schemeClr val="accent1"/>
            </a:solidFill>
            <a:ln>
              <a:noFill/>
            </a:ln>
            <a:effectLst/>
            <a:sp3d/>
          </c:spPr>
          <c:invertIfNegative val="0"/>
          <c:cat>
            <c:strRef>
              <c:f>SalesByProductCategory!$B$6:$B$10</c:f>
              <c:strCache>
                <c:ptCount val="4"/>
                <c:pt idx="0">
                  <c:v>Accessories</c:v>
                </c:pt>
                <c:pt idx="1">
                  <c:v>Electronics</c:v>
                </c:pt>
                <c:pt idx="2">
                  <c:v>Furniture</c:v>
                </c:pt>
                <c:pt idx="3">
                  <c:v>Office Supplies</c:v>
                </c:pt>
              </c:strCache>
            </c:strRef>
          </c:cat>
          <c:val>
            <c:numRef>
              <c:f>SalesByProductCategory!$C$6:$C$10</c:f>
              <c:numCache>
                <c:formatCode>"$"#,##0.00</c:formatCode>
                <c:ptCount val="4"/>
                <c:pt idx="0">
                  <c:v>432251.52</c:v>
                </c:pt>
                <c:pt idx="1">
                  <c:v>352857.68900000013</c:v>
                </c:pt>
                <c:pt idx="2">
                  <c:v>442422.87700000004</c:v>
                </c:pt>
                <c:pt idx="3">
                  <c:v>366535.56300000002</c:v>
                </c:pt>
              </c:numCache>
            </c:numRef>
          </c:val>
          <c:extLst>
            <c:ext xmlns:c16="http://schemas.microsoft.com/office/drawing/2014/chart" uri="{C3380CC4-5D6E-409C-BE32-E72D297353CC}">
              <c16:uniqueId val="{00000000-8374-4F26-9086-58C724D8065C}"/>
            </c:ext>
          </c:extLst>
        </c:ser>
        <c:dLbls>
          <c:showLegendKey val="0"/>
          <c:showVal val="0"/>
          <c:showCatName val="0"/>
          <c:showSerName val="0"/>
          <c:showPercent val="0"/>
          <c:showBubbleSize val="0"/>
        </c:dLbls>
        <c:gapWidth val="150"/>
        <c:shape val="box"/>
        <c:axId val="399466456"/>
        <c:axId val="399462136"/>
        <c:axId val="0"/>
      </c:bar3DChart>
      <c:catAx>
        <c:axId val="3994664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9462136"/>
        <c:crosses val="autoZero"/>
        <c:auto val="1"/>
        <c:lblAlgn val="ctr"/>
        <c:lblOffset val="100"/>
        <c:noMultiLvlLbl val="0"/>
      </c:catAx>
      <c:valAx>
        <c:axId val="39946213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9466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[Report Automation Data .xlsx]SalesByPerson!PivotTable7</c:name>
    <c:fmtId val="18"/>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Top Performing SalesPersons</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SalesByPerson!$B$2</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A5D8-4EB2-A4BE-DC190215CED5}"/>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A5D8-4EB2-A4BE-DC190215CED5}"/>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A5D8-4EB2-A4BE-DC190215CED5}"/>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A5D8-4EB2-A4BE-DC190215CED5}"/>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A5D8-4EB2-A4BE-DC190215CED5}"/>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A5D8-4EB2-A4BE-DC190215CED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SalesByPerson!$A$3:$A$9</c:f>
              <c:strCache>
                <c:ptCount val="6"/>
                <c:pt idx="0">
                  <c:v>Alice</c:v>
                </c:pt>
                <c:pt idx="1">
                  <c:v>Ben</c:v>
                </c:pt>
                <c:pt idx="2">
                  <c:v>Chris</c:v>
                </c:pt>
                <c:pt idx="3">
                  <c:v>David</c:v>
                </c:pt>
                <c:pt idx="4">
                  <c:v>Emma</c:v>
                </c:pt>
                <c:pt idx="5">
                  <c:v>Fatima</c:v>
                </c:pt>
              </c:strCache>
            </c:strRef>
          </c:cat>
          <c:val>
            <c:numRef>
              <c:f>SalesByPerson!$B$3:$B$9</c:f>
              <c:numCache>
                <c:formatCode>0.00%</c:formatCode>
                <c:ptCount val="6"/>
                <c:pt idx="0">
                  <c:v>0.14282733053570681</c:v>
                </c:pt>
                <c:pt idx="1">
                  <c:v>0.20483983989314364</c:v>
                </c:pt>
                <c:pt idx="2">
                  <c:v>0.11657179738674943</c:v>
                </c:pt>
                <c:pt idx="3">
                  <c:v>0.21010066179443559</c:v>
                </c:pt>
                <c:pt idx="4">
                  <c:v>0.13636647926226123</c:v>
                </c:pt>
                <c:pt idx="5">
                  <c:v>0.18929389112770334</c:v>
                </c:pt>
              </c:numCache>
            </c:numRef>
          </c:val>
          <c:extLst>
            <c:ext xmlns:c16="http://schemas.microsoft.com/office/drawing/2014/chart" uri="{C3380CC4-5D6E-409C-BE32-E72D297353CC}">
              <c16:uniqueId val="{00000000-DE25-41DA-9D55-A37681DF2DD5}"/>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[Report Automation Data .xlsx]No of Order!PivotTable8</c:name>
    <c:fmtId val="2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Customers</a:t>
            </a:r>
            <a:r>
              <a:rPr lang="en-US" baseline="0"/>
              <a:t>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'No of Order'!$B$3</c:f>
              <c:strCache>
                <c:ptCount val="1"/>
                <c:pt idx="0">
                  <c:v>Total</c:v>
                </c:pt>
              </c:strCache>
            </c:strRef>
          </c:tx>
          <c:spPr>
            <a:solidFill>
              <a:schemeClr val="accent1"/>
            </a:solidFill>
            <a:ln>
              <a:noFill/>
            </a:ln>
            <a:effectLst/>
          </c:spPr>
          <c:invertIfNegative val="0"/>
          <c:cat>
            <c:strRef>
              <c:f>'No of Order'!$A$4:$A$84</c:f>
              <c:strCache>
                <c:ptCount val="80"/>
                <c:pt idx="0">
                  <c:v>Customer 1</c:v>
                </c:pt>
                <c:pt idx="1">
                  <c:v>Customer 10</c:v>
                </c:pt>
                <c:pt idx="2">
                  <c:v>Customer 11</c:v>
                </c:pt>
                <c:pt idx="3">
                  <c:v>Customer 12</c:v>
                </c:pt>
                <c:pt idx="4">
                  <c:v>Customer 13</c:v>
                </c:pt>
                <c:pt idx="5">
                  <c:v>Customer 14</c:v>
                </c:pt>
                <c:pt idx="6">
                  <c:v>Customer 15</c:v>
                </c:pt>
                <c:pt idx="7">
                  <c:v>Customer 16</c:v>
                </c:pt>
                <c:pt idx="8">
                  <c:v>Customer 17</c:v>
                </c:pt>
                <c:pt idx="9">
                  <c:v>Customer 18</c:v>
                </c:pt>
                <c:pt idx="10">
                  <c:v>Customer 19</c:v>
                </c:pt>
                <c:pt idx="11">
                  <c:v>Customer 2</c:v>
                </c:pt>
                <c:pt idx="12">
                  <c:v>Customer 20</c:v>
                </c:pt>
                <c:pt idx="13">
                  <c:v>Customer 21</c:v>
                </c:pt>
                <c:pt idx="14">
                  <c:v>Customer 22</c:v>
                </c:pt>
                <c:pt idx="15">
                  <c:v>Customer 23</c:v>
                </c:pt>
                <c:pt idx="16">
                  <c:v>Customer 24</c:v>
                </c:pt>
                <c:pt idx="17">
                  <c:v>Customer 25</c:v>
                </c:pt>
                <c:pt idx="18">
                  <c:v>Customer 26</c:v>
                </c:pt>
                <c:pt idx="19">
                  <c:v>Customer 27</c:v>
                </c:pt>
                <c:pt idx="20">
                  <c:v>Customer 28</c:v>
                </c:pt>
                <c:pt idx="21">
                  <c:v>Customer 29</c:v>
                </c:pt>
                <c:pt idx="22">
                  <c:v>Customer 3</c:v>
                </c:pt>
                <c:pt idx="23">
                  <c:v>Customer 30</c:v>
                </c:pt>
                <c:pt idx="24">
                  <c:v>Customer 31</c:v>
                </c:pt>
                <c:pt idx="25">
                  <c:v>Customer 32</c:v>
                </c:pt>
                <c:pt idx="26">
                  <c:v>Customer 33</c:v>
                </c:pt>
                <c:pt idx="27">
                  <c:v>Customer 34</c:v>
                </c:pt>
                <c:pt idx="28">
                  <c:v>Customer 35</c:v>
                </c:pt>
                <c:pt idx="29">
                  <c:v>Customer 36</c:v>
                </c:pt>
                <c:pt idx="30">
                  <c:v>Customer 37</c:v>
                </c:pt>
                <c:pt idx="31">
                  <c:v>Customer 38</c:v>
                </c:pt>
                <c:pt idx="32">
                  <c:v>Customer 39</c:v>
                </c:pt>
                <c:pt idx="33">
                  <c:v>Customer 4</c:v>
                </c:pt>
                <c:pt idx="34">
                  <c:v>Customer 40</c:v>
                </c:pt>
                <c:pt idx="35">
                  <c:v>Customer 41</c:v>
                </c:pt>
                <c:pt idx="36">
                  <c:v>Customer 42</c:v>
                </c:pt>
                <c:pt idx="37">
                  <c:v>Customer 43</c:v>
                </c:pt>
                <c:pt idx="38">
                  <c:v>Customer 44</c:v>
                </c:pt>
                <c:pt idx="39">
                  <c:v>Customer 45</c:v>
                </c:pt>
                <c:pt idx="40">
                  <c:v>Customer 46</c:v>
                </c:pt>
                <c:pt idx="41">
                  <c:v>Customer 47</c:v>
                </c:pt>
                <c:pt idx="42">
                  <c:v>Customer 48</c:v>
                </c:pt>
                <c:pt idx="43">
                  <c:v>Customer 49</c:v>
                </c:pt>
                <c:pt idx="44">
                  <c:v>Customer 5</c:v>
                </c:pt>
                <c:pt idx="45">
                  <c:v>Customer 50</c:v>
                </c:pt>
                <c:pt idx="46">
                  <c:v>Customer 51</c:v>
                </c:pt>
                <c:pt idx="47">
                  <c:v>Customer 52</c:v>
                </c:pt>
                <c:pt idx="48">
                  <c:v>Customer 53</c:v>
                </c:pt>
                <c:pt idx="49">
                  <c:v>Customer 54</c:v>
                </c:pt>
                <c:pt idx="50">
                  <c:v>Customer 55</c:v>
                </c:pt>
                <c:pt idx="51">
                  <c:v>Customer 56</c:v>
                </c:pt>
                <c:pt idx="52">
                  <c:v>Customer 57</c:v>
                </c:pt>
                <c:pt idx="53">
                  <c:v>Customer 58</c:v>
                </c:pt>
                <c:pt idx="54">
                  <c:v>Customer 59</c:v>
                </c:pt>
                <c:pt idx="55">
                  <c:v>Customer 6</c:v>
                </c:pt>
                <c:pt idx="56">
                  <c:v>Customer 60</c:v>
                </c:pt>
                <c:pt idx="57">
                  <c:v>Customer 61</c:v>
                </c:pt>
                <c:pt idx="58">
                  <c:v>Customer 62</c:v>
                </c:pt>
                <c:pt idx="59">
                  <c:v>Customer 63</c:v>
                </c:pt>
                <c:pt idx="60">
                  <c:v>Customer 64</c:v>
                </c:pt>
                <c:pt idx="61">
                  <c:v>Customer 65</c:v>
                </c:pt>
                <c:pt idx="62">
                  <c:v>Customer 66</c:v>
                </c:pt>
                <c:pt idx="63">
                  <c:v>Customer 67</c:v>
                </c:pt>
                <c:pt idx="64">
                  <c:v>Customer 68</c:v>
                </c:pt>
                <c:pt idx="65">
                  <c:v>Customer 69</c:v>
                </c:pt>
                <c:pt idx="66">
                  <c:v>Customer 7</c:v>
                </c:pt>
                <c:pt idx="67">
                  <c:v>Customer 70</c:v>
                </c:pt>
                <c:pt idx="68">
                  <c:v>Customer 71</c:v>
                </c:pt>
                <c:pt idx="69">
                  <c:v>Customer 72</c:v>
                </c:pt>
                <c:pt idx="70">
                  <c:v>Customer 73</c:v>
                </c:pt>
                <c:pt idx="71">
                  <c:v>Customer 74</c:v>
                </c:pt>
                <c:pt idx="72">
                  <c:v>Customer 75</c:v>
                </c:pt>
                <c:pt idx="73">
                  <c:v>Customer 76</c:v>
                </c:pt>
                <c:pt idx="74">
                  <c:v>Customer 77</c:v>
                </c:pt>
                <c:pt idx="75">
                  <c:v>Customer 78</c:v>
                </c:pt>
                <c:pt idx="76">
                  <c:v>Customer 79</c:v>
                </c:pt>
                <c:pt idx="77">
                  <c:v>Customer 8</c:v>
                </c:pt>
                <c:pt idx="78">
                  <c:v>Customer 80</c:v>
                </c:pt>
                <c:pt idx="79">
                  <c:v>Customer 9</c:v>
                </c:pt>
              </c:strCache>
            </c:strRef>
          </c:cat>
          <c:val>
            <c:numRef>
              <c:f>'No of Order'!$B$4:$B$84</c:f>
              <c:numCache>
                <c:formatCode>General</c:formatCode>
                <c:ptCount val="80"/>
                <c:pt idx="0">
                  <c:v>9</c:v>
                </c:pt>
                <c:pt idx="1">
                  <c:v>3</c:v>
                </c:pt>
                <c:pt idx="2">
                  <c:v>6</c:v>
                </c:pt>
                <c:pt idx="3">
                  <c:v>12</c:v>
                </c:pt>
                <c:pt idx="4">
                  <c:v>10</c:v>
                </c:pt>
                <c:pt idx="5">
                  <c:v>6</c:v>
                </c:pt>
                <c:pt idx="6">
                  <c:v>8</c:v>
                </c:pt>
                <c:pt idx="7">
                  <c:v>9</c:v>
                </c:pt>
                <c:pt idx="8">
                  <c:v>4</c:v>
                </c:pt>
                <c:pt idx="9">
                  <c:v>7</c:v>
                </c:pt>
                <c:pt idx="10">
                  <c:v>5</c:v>
                </c:pt>
                <c:pt idx="11">
                  <c:v>8</c:v>
                </c:pt>
                <c:pt idx="12">
                  <c:v>3</c:v>
                </c:pt>
                <c:pt idx="13">
                  <c:v>6</c:v>
                </c:pt>
                <c:pt idx="14">
                  <c:v>7</c:v>
                </c:pt>
                <c:pt idx="15">
                  <c:v>8</c:v>
                </c:pt>
                <c:pt idx="16">
                  <c:v>5</c:v>
                </c:pt>
                <c:pt idx="17">
                  <c:v>7</c:v>
                </c:pt>
                <c:pt idx="18">
                  <c:v>6</c:v>
                </c:pt>
                <c:pt idx="19">
                  <c:v>7</c:v>
                </c:pt>
                <c:pt idx="20">
                  <c:v>7</c:v>
                </c:pt>
                <c:pt idx="21">
                  <c:v>6</c:v>
                </c:pt>
                <c:pt idx="22">
                  <c:v>5</c:v>
                </c:pt>
                <c:pt idx="23">
                  <c:v>5</c:v>
                </c:pt>
                <c:pt idx="24">
                  <c:v>6</c:v>
                </c:pt>
                <c:pt idx="25">
                  <c:v>4</c:v>
                </c:pt>
                <c:pt idx="26">
                  <c:v>6</c:v>
                </c:pt>
                <c:pt idx="27">
                  <c:v>6</c:v>
                </c:pt>
                <c:pt idx="28">
                  <c:v>4</c:v>
                </c:pt>
                <c:pt idx="29">
                  <c:v>4</c:v>
                </c:pt>
                <c:pt idx="30">
                  <c:v>3</c:v>
                </c:pt>
                <c:pt idx="31">
                  <c:v>6</c:v>
                </c:pt>
                <c:pt idx="32">
                  <c:v>5</c:v>
                </c:pt>
                <c:pt idx="33">
                  <c:v>6</c:v>
                </c:pt>
                <c:pt idx="34">
                  <c:v>12</c:v>
                </c:pt>
                <c:pt idx="35">
                  <c:v>4</c:v>
                </c:pt>
                <c:pt idx="36">
                  <c:v>11</c:v>
                </c:pt>
                <c:pt idx="37">
                  <c:v>6</c:v>
                </c:pt>
                <c:pt idx="38">
                  <c:v>5</c:v>
                </c:pt>
                <c:pt idx="39">
                  <c:v>6</c:v>
                </c:pt>
                <c:pt idx="40">
                  <c:v>2</c:v>
                </c:pt>
                <c:pt idx="41">
                  <c:v>11</c:v>
                </c:pt>
                <c:pt idx="42">
                  <c:v>6</c:v>
                </c:pt>
                <c:pt idx="43">
                  <c:v>6</c:v>
                </c:pt>
                <c:pt idx="44">
                  <c:v>7</c:v>
                </c:pt>
                <c:pt idx="45">
                  <c:v>7</c:v>
                </c:pt>
                <c:pt idx="46">
                  <c:v>6</c:v>
                </c:pt>
                <c:pt idx="47">
                  <c:v>8</c:v>
                </c:pt>
                <c:pt idx="48">
                  <c:v>4</c:v>
                </c:pt>
                <c:pt idx="49">
                  <c:v>3</c:v>
                </c:pt>
                <c:pt idx="50">
                  <c:v>4</c:v>
                </c:pt>
                <c:pt idx="51">
                  <c:v>7</c:v>
                </c:pt>
                <c:pt idx="52">
                  <c:v>4</c:v>
                </c:pt>
                <c:pt idx="53">
                  <c:v>4</c:v>
                </c:pt>
                <c:pt idx="54">
                  <c:v>5</c:v>
                </c:pt>
                <c:pt idx="55">
                  <c:v>9</c:v>
                </c:pt>
                <c:pt idx="56">
                  <c:v>12</c:v>
                </c:pt>
                <c:pt idx="57">
                  <c:v>9</c:v>
                </c:pt>
                <c:pt idx="58">
                  <c:v>7</c:v>
                </c:pt>
                <c:pt idx="59">
                  <c:v>6</c:v>
                </c:pt>
                <c:pt idx="60">
                  <c:v>2</c:v>
                </c:pt>
                <c:pt idx="61">
                  <c:v>3</c:v>
                </c:pt>
                <c:pt idx="62">
                  <c:v>2</c:v>
                </c:pt>
                <c:pt idx="63">
                  <c:v>6</c:v>
                </c:pt>
                <c:pt idx="64">
                  <c:v>13</c:v>
                </c:pt>
                <c:pt idx="65">
                  <c:v>8</c:v>
                </c:pt>
                <c:pt idx="66">
                  <c:v>4</c:v>
                </c:pt>
                <c:pt idx="67">
                  <c:v>7</c:v>
                </c:pt>
                <c:pt idx="68">
                  <c:v>7</c:v>
                </c:pt>
                <c:pt idx="69">
                  <c:v>6</c:v>
                </c:pt>
                <c:pt idx="70">
                  <c:v>9</c:v>
                </c:pt>
                <c:pt idx="71">
                  <c:v>2</c:v>
                </c:pt>
                <c:pt idx="72">
                  <c:v>7</c:v>
                </c:pt>
                <c:pt idx="73">
                  <c:v>6</c:v>
                </c:pt>
                <c:pt idx="74">
                  <c:v>1</c:v>
                </c:pt>
                <c:pt idx="75">
                  <c:v>5</c:v>
                </c:pt>
                <c:pt idx="76">
                  <c:v>11</c:v>
                </c:pt>
                <c:pt idx="77">
                  <c:v>5</c:v>
                </c:pt>
                <c:pt idx="78">
                  <c:v>6</c:v>
                </c:pt>
                <c:pt idx="79">
                  <c:v>10</c:v>
                </c:pt>
              </c:numCache>
            </c:numRef>
          </c:val>
          <c:extLst>
            <c:ext xmlns:c16="http://schemas.microsoft.com/office/drawing/2014/chart" uri="{C3380CC4-5D6E-409C-BE32-E72D297353CC}">
              <c16:uniqueId val="{00000000-FAC2-416C-BB45-2E29DF880AF8}"/>
            </c:ext>
          </c:extLst>
        </c:ser>
        <c:dLbls>
          <c:showLegendKey val="0"/>
          <c:showVal val="0"/>
          <c:showCatName val="0"/>
          <c:showSerName val="0"/>
          <c:showPercent val="0"/>
          <c:showBubbleSize val="0"/>
        </c:dLbls>
        <c:gapWidth val="219"/>
        <c:overlap val="-27"/>
        <c:axId val="399464296"/>
        <c:axId val="590877280"/>
      </c:barChart>
      <c:catAx>
        <c:axId val="399464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0877280"/>
        <c:crosses val="autoZero"/>
        <c:auto val="1"/>
        <c:lblAlgn val="ctr"/>
        <c:lblOffset val="100"/>
        <c:noMultiLvlLbl val="0"/>
      </c:catAx>
      <c:valAx>
        <c:axId val="590877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9464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[Report Automation Data .xlsx]MonthlySales!PivotTable6</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MonthlySales!$C$6</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MonthlySales!$B$7:$B$14</c:f>
              <c:strCache>
                <c:ptCount val="7"/>
                <c:pt idx="0">
                  <c:v>Jan</c:v>
                </c:pt>
                <c:pt idx="1">
                  <c:v>Feb</c:v>
                </c:pt>
                <c:pt idx="2">
                  <c:v>Mar</c:v>
                </c:pt>
                <c:pt idx="3">
                  <c:v>Apr</c:v>
                </c:pt>
                <c:pt idx="4">
                  <c:v>May</c:v>
                </c:pt>
                <c:pt idx="5">
                  <c:v>Jun</c:v>
                </c:pt>
                <c:pt idx="6">
                  <c:v>Jul</c:v>
                </c:pt>
              </c:strCache>
            </c:strRef>
          </c:cat>
          <c:val>
            <c:numRef>
              <c:f>MonthlySales!$C$7:$C$14</c:f>
              <c:numCache>
                <c:formatCode>"$"#,##0.00</c:formatCode>
                <c:ptCount val="7"/>
                <c:pt idx="0">
                  <c:v>269342.5955</c:v>
                </c:pt>
                <c:pt idx="1">
                  <c:v>247334.80649999995</c:v>
                </c:pt>
                <c:pt idx="2">
                  <c:v>222517.61700000003</c:v>
                </c:pt>
                <c:pt idx="3">
                  <c:v>233046.86250000005</c:v>
                </c:pt>
                <c:pt idx="4">
                  <c:v>179979.3425</c:v>
                </c:pt>
                <c:pt idx="5">
                  <c:v>228645.28649999996</c:v>
                </c:pt>
                <c:pt idx="6">
                  <c:v>213201.1385</c:v>
                </c:pt>
              </c:numCache>
            </c:numRef>
          </c:val>
          <c:smooth val="0"/>
          <c:extLst>
            <c:ext xmlns:c16="http://schemas.microsoft.com/office/drawing/2014/chart" uri="{C3380CC4-5D6E-409C-BE32-E72D297353CC}">
              <c16:uniqueId val="{00000000-2B68-4C68-A8A4-7EDE2DF25F77}"/>
            </c:ext>
          </c:extLst>
        </c:ser>
        <c:dLbls>
          <c:dLblPos val="t"/>
          <c:showLegendKey val="0"/>
          <c:showVal val="1"/>
          <c:showCatName val="0"/>
          <c:showSerName val="0"/>
          <c:showPercent val="0"/>
          <c:showBubbleSize val="0"/>
        </c:dLbls>
        <c:smooth val="0"/>
        <c:axId val="673636856"/>
        <c:axId val="673636136"/>
      </c:lineChart>
      <c:catAx>
        <c:axId val="673636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3636136"/>
        <c:crosses val="autoZero"/>
        <c:auto val="1"/>
        <c:lblAlgn val="ctr"/>
        <c:lblOffset val="100"/>
        <c:noMultiLvlLbl val="0"/>
      </c:catAx>
      <c:valAx>
        <c:axId val="67363613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3636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[Report Automation Data .xlsx]ProductPerformance!PivotTable9</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Product Performance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ProductPerformance!$B$3</c:f>
              <c:strCache>
                <c:ptCount val="1"/>
                <c:pt idx="0">
                  <c:v>Total</c:v>
                </c:pt>
              </c:strCache>
            </c:strRef>
          </c:tx>
          <c:spPr>
            <a:solidFill>
              <a:schemeClr val="accent1"/>
            </a:solidFill>
            <a:ln>
              <a:noFill/>
            </a:ln>
            <a:effectLst/>
          </c:spPr>
          <c:invertIfNegative val="0"/>
          <c:cat>
            <c:strRef>
              <c:f>ProductPerformance!$A$4:$A$17</c:f>
              <c:strCache>
                <c:ptCount val="13"/>
                <c:pt idx="0">
                  <c:v>Cabinet</c:v>
                </c:pt>
                <c:pt idx="1">
                  <c:v>Chair</c:v>
                </c:pt>
                <c:pt idx="2">
                  <c:v>Desk</c:v>
                </c:pt>
                <c:pt idx="3">
                  <c:v>Headset</c:v>
                </c:pt>
                <c:pt idx="4">
                  <c:v>Keyboard</c:v>
                </c:pt>
                <c:pt idx="5">
                  <c:v>Laptop</c:v>
                </c:pt>
                <c:pt idx="6">
                  <c:v>Monitor</c:v>
                </c:pt>
                <c:pt idx="7">
                  <c:v>Mouse</c:v>
                </c:pt>
                <c:pt idx="8">
                  <c:v>Notebook</c:v>
                </c:pt>
                <c:pt idx="9">
                  <c:v>Pen</c:v>
                </c:pt>
                <c:pt idx="10">
                  <c:v>Printer Paper</c:v>
                </c:pt>
                <c:pt idx="11">
                  <c:v>USB Drive</c:v>
                </c:pt>
                <c:pt idx="12">
                  <c:v>Webcam</c:v>
                </c:pt>
              </c:strCache>
            </c:strRef>
          </c:cat>
          <c:val>
            <c:numRef>
              <c:f>ProductPerformance!$B$4:$B$17</c:f>
              <c:numCache>
                <c:formatCode>"$"#,##0.00</c:formatCode>
                <c:ptCount val="13"/>
                <c:pt idx="0">
                  <c:v>146013.33350000001</c:v>
                </c:pt>
                <c:pt idx="1">
                  <c:v>144030.18399999995</c:v>
                </c:pt>
                <c:pt idx="2">
                  <c:v>152379.35949999999</c:v>
                </c:pt>
                <c:pt idx="3">
                  <c:v>184687.03650000005</c:v>
                </c:pt>
                <c:pt idx="4">
                  <c:v>76480.141499999983</c:v>
                </c:pt>
                <c:pt idx="5">
                  <c:v>65104.290999999983</c:v>
                </c:pt>
                <c:pt idx="6">
                  <c:v>119472.31149999998</c:v>
                </c:pt>
                <c:pt idx="7">
                  <c:v>91800.945000000007</c:v>
                </c:pt>
                <c:pt idx="8">
                  <c:v>101285.14200000002</c:v>
                </c:pt>
                <c:pt idx="9">
                  <c:v>125285.3345</c:v>
                </c:pt>
                <c:pt idx="10">
                  <c:v>139965.08649999995</c:v>
                </c:pt>
                <c:pt idx="11">
                  <c:v>105347.54699999999</c:v>
                </c:pt>
                <c:pt idx="12">
                  <c:v>142216.93649999998</c:v>
                </c:pt>
              </c:numCache>
            </c:numRef>
          </c:val>
          <c:extLst>
            <c:ext xmlns:c16="http://schemas.microsoft.com/office/drawing/2014/chart" uri="{C3380CC4-5D6E-409C-BE32-E72D297353CC}">
              <c16:uniqueId val="{00000000-1FDD-4414-909D-D3B06238719F}"/>
            </c:ext>
          </c:extLst>
        </c:ser>
        <c:dLbls>
          <c:showLegendKey val="0"/>
          <c:showVal val="0"/>
          <c:showCatName val="0"/>
          <c:showSerName val="0"/>
          <c:showPercent val="0"/>
          <c:showBubbleSize val="0"/>
        </c:dLbls>
        <c:gapWidth val="182"/>
        <c:axId val="101523744"/>
        <c:axId val="101524104"/>
      </c:barChart>
      <c:catAx>
        <c:axId val="101523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524104"/>
        <c:crosses val="autoZero"/>
        <c:auto val="1"/>
        <c:lblAlgn val="ctr"/>
        <c:lblOffset val="100"/>
        <c:noMultiLvlLbl val="0"/>
      </c:catAx>
      <c:valAx>
        <c:axId val="101524104"/>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523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[Report Automation Data .xlsx]SalesByRegion!PivotTable1</c:name>
    <c:fmtId val="3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SalesByRegion</a:t>
            </a:r>
            <a:r>
              <a:rPr lang="en-US" baseline="0"/>
              <a:t> Performance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SalesByRegion!$C$4</c:f>
              <c:strCache>
                <c:ptCount val="1"/>
                <c:pt idx="0">
                  <c:v>Total</c:v>
                </c:pt>
              </c:strCache>
            </c:strRef>
          </c:tx>
          <c:spPr>
            <a:solidFill>
              <a:schemeClr val="accent1"/>
            </a:solidFill>
            <a:ln>
              <a:noFill/>
            </a:ln>
            <a:effectLst/>
          </c:spPr>
          <c:invertIfNegative val="0"/>
          <c:cat>
            <c:strRef>
              <c:f>SalesByRegion!$B$5:$B$9</c:f>
              <c:strCache>
                <c:ptCount val="4"/>
                <c:pt idx="0">
                  <c:v>East</c:v>
                </c:pt>
                <c:pt idx="1">
                  <c:v>North</c:v>
                </c:pt>
                <c:pt idx="2">
                  <c:v>South</c:v>
                </c:pt>
                <c:pt idx="3">
                  <c:v>West</c:v>
                </c:pt>
              </c:strCache>
            </c:strRef>
          </c:cat>
          <c:val>
            <c:numRef>
              <c:f>SalesByRegion!$C$5:$C$9</c:f>
              <c:numCache>
                <c:formatCode>"$"#,##0.00</c:formatCode>
                <c:ptCount val="4"/>
                <c:pt idx="0">
                  <c:v>431839.11150000006</c:v>
                </c:pt>
                <c:pt idx="1">
                  <c:v>444823.18549999996</c:v>
                </c:pt>
                <c:pt idx="2">
                  <c:v>311705.80650000018</c:v>
                </c:pt>
                <c:pt idx="3">
                  <c:v>405699.54550000007</c:v>
                </c:pt>
              </c:numCache>
            </c:numRef>
          </c:val>
          <c:extLst>
            <c:ext xmlns:c16="http://schemas.microsoft.com/office/drawing/2014/chart" uri="{C3380CC4-5D6E-409C-BE32-E72D297353CC}">
              <c16:uniqueId val="{00000000-F387-414C-B241-72E566911264}"/>
            </c:ext>
          </c:extLst>
        </c:ser>
        <c:dLbls>
          <c:showLegendKey val="0"/>
          <c:showVal val="0"/>
          <c:showCatName val="0"/>
          <c:showSerName val="0"/>
          <c:showPercent val="0"/>
          <c:showBubbleSize val="0"/>
        </c:dLbls>
        <c:gapWidth val="182"/>
        <c:axId val="350941696"/>
        <c:axId val="350948896"/>
      </c:barChart>
      <c:catAx>
        <c:axId val="3509416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0948896"/>
        <c:crosses val="autoZero"/>
        <c:auto val="1"/>
        <c:lblAlgn val="ctr"/>
        <c:lblOffset val="100"/>
        <c:noMultiLvlLbl val="0"/>
      </c:catAx>
      <c:valAx>
        <c:axId val="350948896"/>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0941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[Report Automation Data .xlsx]SalesByProductCategory!PivotTable3</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ProductCategory Performance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SalesByProductCategory!$C$5</c:f>
              <c:strCache>
                <c:ptCount val="1"/>
                <c:pt idx="0">
                  <c:v>Total</c:v>
                </c:pt>
              </c:strCache>
            </c:strRef>
          </c:tx>
          <c:spPr>
            <a:solidFill>
              <a:schemeClr val="accent1"/>
            </a:solidFill>
            <a:ln>
              <a:noFill/>
            </a:ln>
            <a:effectLst/>
            <a:sp3d/>
          </c:spPr>
          <c:invertIfNegative val="0"/>
          <c:cat>
            <c:strRef>
              <c:f>SalesByProductCategory!$B$6:$B$10</c:f>
              <c:strCache>
                <c:ptCount val="4"/>
                <c:pt idx="0">
                  <c:v>Accessories</c:v>
                </c:pt>
                <c:pt idx="1">
                  <c:v>Electronics</c:v>
                </c:pt>
                <c:pt idx="2">
                  <c:v>Furniture</c:v>
                </c:pt>
                <c:pt idx="3">
                  <c:v>Office Supplies</c:v>
                </c:pt>
              </c:strCache>
            </c:strRef>
          </c:cat>
          <c:val>
            <c:numRef>
              <c:f>SalesByProductCategory!$C$6:$C$10</c:f>
              <c:numCache>
                <c:formatCode>"$"#,##0.00</c:formatCode>
                <c:ptCount val="4"/>
                <c:pt idx="0">
                  <c:v>432251.52</c:v>
                </c:pt>
                <c:pt idx="1">
                  <c:v>352857.68900000013</c:v>
                </c:pt>
                <c:pt idx="2">
                  <c:v>442422.87700000004</c:v>
                </c:pt>
                <c:pt idx="3">
                  <c:v>366535.56300000002</c:v>
                </c:pt>
              </c:numCache>
            </c:numRef>
          </c:val>
          <c:extLst>
            <c:ext xmlns:c16="http://schemas.microsoft.com/office/drawing/2014/chart" uri="{C3380CC4-5D6E-409C-BE32-E72D297353CC}">
              <c16:uniqueId val="{00000000-D810-4CBA-BC30-2DBBF15B7FBA}"/>
            </c:ext>
          </c:extLst>
        </c:ser>
        <c:dLbls>
          <c:showLegendKey val="0"/>
          <c:showVal val="0"/>
          <c:showCatName val="0"/>
          <c:showSerName val="0"/>
          <c:showPercent val="0"/>
          <c:showBubbleSize val="0"/>
        </c:dLbls>
        <c:gapWidth val="150"/>
        <c:shape val="box"/>
        <c:axId val="399466456"/>
        <c:axId val="399462136"/>
        <c:axId val="0"/>
      </c:bar3DChart>
      <c:catAx>
        <c:axId val="3994664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9462136"/>
        <c:crosses val="autoZero"/>
        <c:auto val="1"/>
        <c:lblAlgn val="ctr"/>
        <c:lblOffset val="100"/>
        <c:noMultiLvlLbl val="0"/>
      </c:catAx>
      <c:valAx>
        <c:axId val="39946213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9466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[Report Automation Data .xlsx]MonthlySales!PivotTable6</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Sales Performance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MonthlySales!$C$6</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MonthlySales!$B$7:$B$14</c:f>
              <c:strCache>
                <c:ptCount val="7"/>
                <c:pt idx="0">
                  <c:v>Jan</c:v>
                </c:pt>
                <c:pt idx="1">
                  <c:v>Feb</c:v>
                </c:pt>
                <c:pt idx="2">
                  <c:v>Mar</c:v>
                </c:pt>
                <c:pt idx="3">
                  <c:v>Apr</c:v>
                </c:pt>
                <c:pt idx="4">
                  <c:v>May</c:v>
                </c:pt>
                <c:pt idx="5">
                  <c:v>Jun</c:v>
                </c:pt>
                <c:pt idx="6">
                  <c:v>Jul</c:v>
                </c:pt>
              </c:strCache>
            </c:strRef>
          </c:cat>
          <c:val>
            <c:numRef>
              <c:f>MonthlySales!$C$7:$C$14</c:f>
              <c:numCache>
                <c:formatCode>"$"#,##0.00</c:formatCode>
                <c:ptCount val="7"/>
                <c:pt idx="0">
                  <c:v>269342.5955</c:v>
                </c:pt>
                <c:pt idx="1">
                  <c:v>247334.80649999995</c:v>
                </c:pt>
                <c:pt idx="2">
                  <c:v>222517.61700000003</c:v>
                </c:pt>
                <c:pt idx="3">
                  <c:v>233046.86250000005</c:v>
                </c:pt>
                <c:pt idx="4">
                  <c:v>179979.3425</c:v>
                </c:pt>
                <c:pt idx="5">
                  <c:v>228645.28649999996</c:v>
                </c:pt>
                <c:pt idx="6">
                  <c:v>213201.1385</c:v>
                </c:pt>
              </c:numCache>
            </c:numRef>
          </c:val>
          <c:smooth val="0"/>
          <c:extLst>
            <c:ext xmlns:c16="http://schemas.microsoft.com/office/drawing/2014/chart" uri="{C3380CC4-5D6E-409C-BE32-E72D297353CC}">
              <c16:uniqueId val="{00000000-7D12-4302-8B05-060136E6A2AA}"/>
            </c:ext>
          </c:extLst>
        </c:ser>
        <c:dLbls>
          <c:dLblPos val="t"/>
          <c:showLegendKey val="0"/>
          <c:showVal val="1"/>
          <c:showCatName val="0"/>
          <c:showSerName val="0"/>
          <c:showPercent val="0"/>
          <c:showBubbleSize val="0"/>
        </c:dLbls>
        <c:smooth val="0"/>
        <c:axId val="673636856"/>
        <c:axId val="673636136"/>
      </c:lineChart>
      <c:catAx>
        <c:axId val="673636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3636136"/>
        <c:crosses val="autoZero"/>
        <c:auto val="1"/>
        <c:lblAlgn val="ctr"/>
        <c:lblOffset val="100"/>
        <c:noMultiLvlLbl val="0"/>
      </c:catAx>
      <c:valAx>
        <c:axId val="67363613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3636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[Report Automation Data .xlsx]SalesByPerson!PivotTable7</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Performing SalesPerson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SalesByPerson!$B$2</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28BA-4106-BA6B-FD5A93C35B4F}"/>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28BA-4106-BA6B-FD5A93C35B4F}"/>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28BA-4106-BA6B-FD5A93C35B4F}"/>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28BA-4106-BA6B-FD5A93C35B4F}"/>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28BA-4106-BA6B-FD5A93C35B4F}"/>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28BA-4106-BA6B-FD5A93C35B4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SalesByPerson!$A$3:$A$9</c:f>
              <c:strCache>
                <c:ptCount val="6"/>
                <c:pt idx="0">
                  <c:v>Alice</c:v>
                </c:pt>
                <c:pt idx="1">
                  <c:v>Ben</c:v>
                </c:pt>
                <c:pt idx="2">
                  <c:v>Chris</c:v>
                </c:pt>
                <c:pt idx="3">
                  <c:v>David</c:v>
                </c:pt>
                <c:pt idx="4">
                  <c:v>Emma</c:v>
                </c:pt>
                <c:pt idx="5">
                  <c:v>Fatima</c:v>
                </c:pt>
              </c:strCache>
            </c:strRef>
          </c:cat>
          <c:val>
            <c:numRef>
              <c:f>SalesByPerson!$B$3:$B$9</c:f>
              <c:numCache>
                <c:formatCode>0.00%</c:formatCode>
                <c:ptCount val="6"/>
                <c:pt idx="0">
                  <c:v>0.14282733053570681</c:v>
                </c:pt>
                <c:pt idx="1">
                  <c:v>0.20483983989314364</c:v>
                </c:pt>
                <c:pt idx="2">
                  <c:v>0.11657179738674943</c:v>
                </c:pt>
                <c:pt idx="3">
                  <c:v>0.21010066179443559</c:v>
                </c:pt>
                <c:pt idx="4">
                  <c:v>0.13636647926226123</c:v>
                </c:pt>
                <c:pt idx="5">
                  <c:v>0.18929389112770334</c:v>
                </c:pt>
              </c:numCache>
            </c:numRef>
          </c:val>
          <c:extLst>
            <c:ext xmlns:c16="http://schemas.microsoft.com/office/drawing/2014/chart" uri="{C3380CC4-5D6E-409C-BE32-E72D297353CC}">
              <c16:uniqueId val="{0000000C-28BA-4106-BA6B-FD5A93C35B4F}"/>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17</xdr:col>
      <xdr:colOff>9525</xdr:colOff>
      <xdr:row>8</xdr:row>
      <xdr:rowOff>19050</xdr:rowOff>
    </xdr:from>
    <xdr:to>
      <xdr:col>23</xdr:col>
      <xdr:colOff>193675</xdr:colOff>
      <xdr:row>23</xdr:row>
      <xdr:rowOff>0</xdr:rowOff>
    </xdr:to>
    <xdr:graphicFrame macro="">
      <xdr:nvGraphicFramePr>
        <xdr:cNvPr id="2" name="Chart 1">
          <a:extLst>
            <a:ext uri="{FF2B5EF4-FFF2-40B4-BE49-F238E27FC236}">
              <a16:creationId xmlns:a16="http://schemas.microsoft.com/office/drawing/2014/main" id="{5DA76D8B-49FC-E816-9A5E-B24ABCEBDE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158750</xdr:colOff>
      <xdr:row>18</xdr:row>
      <xdr:rowOff>22224</xdr:rowOff>
    </xdr:from>
    <xdr:to>
      <xdr:col>16</xdr:col>
      <xdr:colOff>57150</xdr:colOff>
      <xdr:row>34</xdr:row>
      <xdr:rowOff>63500</xdr:rowOff>
    </xdr:to>
    <xdr:graphicFrame macro="">
      <xdr:nvGraphicFramePr>
        <xdr:cNvPr id="2" name="Chart 1">
          <a:extLst>
            <a:ext uri="{FF2B5EF4-FFF2-40B4-BE49-F238E27FC236}">
              <a16:creationId xmlns:a16="http://schemas.microsoft.com/office/drawing/2014/main" id="{01E28C07-1BAA-CDE9-0B79-AC1E686EAC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101600</xdr:colOff>
      <xdr:row>18</xdr:row>
      <xdr:rowOff>22225</xdr:rowOff>
    </xdr:from>
    <xdr:to>
      <xdr:col>14</xdr:col>
      <xdr:colOff>406400</xdr:colOff>
      <xdr:row>33</xdr:row>
      <xdr:rowOff>3175</xdr:rowOff>
    </xdr:to>
    <xdr:graphicFrame macro="">
      <xdr:nvGraphicFramePr>
        <xdr:cNvPr id="2" name="Chart 1">
          <a:extLst>
            <a:ext uri="{FF2B5EF4-FFF2-40B4-BE49-F238E27FC236}">
              <a16:creationId xmlns:a16="http://schemas.microsoft.com/office/drawing/2014/main" id="{32D433B9-BD38-13C6-8334-5F9ACBA7FD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158750</xdr:colOff>
      <xdr:row>18</xdr:row>
      <xdr:rowOff>22225</xdr:rowOff>
    </xdr:from>
    <xdr:to>
      <xdr:col>13</xdr:col>
      <xdr:colOff>50800</xdr:colOff>
      <xdr:row>33</xdr:row>
      <xdr:rowOff>3175</xdr:rowOff>
    </xdr:to>
    <xdr:graphicFrame macro="">
      <xdr:nvGraphicFramePr>
        <xdr:cNvPr id="3" name="Chart 2">
          <a:extLst>
            <a:ext uri="{FF2B5EF4-FFF2-40B4-BE49-F238E27FC236}">
              <a16:creationId xmlns:a16="http://schemas.microsoft.com/office/drawing/2014/main" id="{238D7529-F4C7-C8A7-7D52-20A62B3514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6350</xdr:colOff>
      <xdr:row>15</xdr:row>
      <xdr:rowOff>12700</xdr:rowOff>
    </xdr:from>
    <xdr:to>
      <xdr:col>18</xdr:col>
      <xdr:colOff>590550</xdr:colOff>
      <xdr:row>32</xdr:row>
      <xdr:rowOff>180975</xdr:rowOff>
    </xdr:to>
    <xdr:graphicFrame macro="">
      <xdr:nvGraphicFramePr>
        <xdr:cNvPr id="2" name="Chart 1">
          <a:extLst>
            <a:ext uri="{FF2B5EF4-FFF2-40B4-BE49-F238E27FC236}">
              <a16:creationId xmlns:a16="http://schemas.microsoft.com/office/drawing/2014/main" id="{40F34673-301D-19E3-DE26-3BFBA96686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7</xdr:col>
      <xdr:colOff>158750</xdr:colOff>
      <xdr:row>18</xdr:row>
      <xdr:rowOff>22225</xdr:rowOff>
    </xdr:from>
    <xdr:to>
      <xdr:col>15</xdr:col>
      <xdr:colOff>527050</xdr:colOff>
      <xdr:row>33</xdr:row>
      <xdr:rowOff>3175</xdr:rowOff>
    </xdr:to>
    <xdr:graphicFrame macro="">
      <xdr:nvGraphicFramePr>
        <xdr:cNvPr id="3" name="Chart 2">
          <a:extLst>
            <a:ext uri="{FF2B5EF4-FFF2-40B4-BE49-F238E27FC236}">
              <a16:creationId xmlns:a16="http://schemas.microsoft.com/office/drawing/2014/main" id="{A446465A-BC80-F1EE-F699-D37B4B50FB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0</xdr:colOff>
      <xdr:row>12</xdr:row>
      <xdr:rowOff>12700</xdr:rowOff>
    </xdr:from>
    <xdr:to>
      <xdr:col>18</xdr:col>
      <xdr:colOff>603250</xdr:colOff>
      <xdr:row>32</xdr:row>
      <xdr:rowOff>0</xdr:rowOff>
    </xdr:to>
    <xdr:graphicFrame macro="">
      <xdr:nvGraphicFramePr>
        <xdr:cNvPr id="2" name="Chart 1">
          <a:extLst>
            <a:ext uri="{FF2B5EF4-FFF2-40B4-BE49-F238E27FC236}">
              <a16:creationId xmlns:a16="http://schemas.microsoft.com/office/drawing/2014/main" id="{3BC1D5E9-E1A0-7E5C-2ED8-C28F9BD0FF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76200</xdr:colOff>
      <xdr:row>0</xdr:row>
      <xdr:rowOff>25400</xdr:rowOff>
    </xdr:from>
    <xdr:to>
      <xdr:col>25</xdr:col>
      <xdr:colOff>38100</xdr:colOff>
      <xdr:row>9</xdr:row>
      <xdr:rowOff>158750</xdr:rowOff>
    </xdr:to>
    <xdr:sp macro="" textlink="">
      <xdr:nvSpPr>
        <xdr:cNvPr id="2" name="Oval 1">
          <a:extLst>
            <a:ext uri="{FF2B5EF4-FFF2-40B4-BE49-F238E27FC236}">
              <a16:creationId xmlns:a16="http://schemas.microsoft.com/office/drawing/2014/main" id="{13837A7D-4F89-8AAF-8CF5-BB83ABA025C6}"/>
            </a:ext>
          </a:extLst>
        </xdr:cNvPr>
        <xdr:cNvSpPr/>
      </xdr:nvSpPr>
      <xdr:spPr>
        <a:xfrm>
          <a:off x="76200" y="25400"/>
          <a:ext cx="16471900" cy="1733550"/>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600" b="1"/>
            <a:t>Verdant &amp; Co. Sales Analytics Dashboard</a:t>
          </a:r>
          <a:br>
            <a:rPr lang="en-US" sz="3600" b="1"/>
          </a:br>
          <a:r>
            <a:rPr lang="en-US" sz="3600" b="1" i="1"/>
            <a:t>Automated Monthly Reporting — 2026</a:t>
          </a:r>
          <a:endParaRPr lang="en-US" sz="3600" b="1"/>
        </a:p>
      </xdr:txBody>
    </xdr:sp>
    <xdr:clientData/>
  </xdr:twoCellAnchor>
  <xdr:twoCellAnchor>
    <xdr:from>
      <xdr:col>0</xdr:col>
      <xdr:colOff>82550</xdr:colOff>
      <xdr:row>7</xdr:row>
      <xdr:rowOff>120650</xdr:rowOff>
    </xdr:from>
    <xdr:to>
      <xdr:col>3</xdr:col>
      <xdr:colOff>292100</xdr:colOff>
      <xdr:row>14</xdr:row>
      <xdr:rowOff>44450</xdr:rowOff>
    </xdr:to>
    <xdr:sp macro="" textlink="">
      <xdr:nvSpPr>
        <xdr:cNvPr id="3" name="Oval 2">
          <a:extLst>
            <a:ext uri="{FF2B5EF4-FFF2-40B4-BE49-F238E27FC236}">
              <a16:creationId xmlns:a16="http://schemas.microsoft.com/office/drawing/2014/main" id="{F4F402D0-0B53-757D-04AD-8167430EABF3}"/>
            </a:ext>
          </a:extLst>
        </xdr:cNvPr>
        <xdr:cNvSpPr/>
      </xdr:nvSpPr>
      <xdr:spPr>
        <a:xfrm>
          <a:off x="82550" y="1409700"/>
          <a:ext cx="2038350" cy="1212850"/>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t>TotalSales</a:t>
          </a:r>
        </a:p>
        <a:p>
          <a:pPr algn="ctr"/>
          <a:r>
            <a:rPr lang="en-US" sz="1600" b="1" i="1"/>
            <a:t>$1,594,064.65</a:t>
          </a:r>
        </a:p>
      </xdr:txBody>
    </xdr:sp>
    <xdr:clientData/>
  </xdr:twoCellAnchor>
  <xdr:twoCellAnchor>
    <xdr:from>
      <xdr:col>3</xdr:col>
      <xdr:colOff>285750</xdr:colOff>
      <xdr:row>9</xdr:row>
      <xdr:rowOff>12700</xdr:rowOff>
    </xdr:from>
    <xdr:to>
      <xdr:col>7</xdr:col>
      <xdr:colOff>50800</xdr:colOff>
      <xdr:row>15</xdr:row>
      <xdr:rowOff>88900</xdr:rowOff>
    </xdr:to>
    <xdr:sp macro="" textlink="">
      <xdr:nvSpPr>
        <xdr:cNvPr id="4" name="Oval 3">
          <a:extLst>
            <a:ext uri="{FF2B5EF4-FFF2-40B4-BE49-F238E27FC236}">
              <a16:creationId xmlns:a16="http://schemas.microsoft.com/office/drawing/2014/main" id="{1EE2228A-862A-51FF-E53A-891CBE226274}"/>
            </a:ext>
          </a:extLst>
        </xdr:cNvPr>
        <xdr:cNvSpPr/>
      </xdr:nvSpPr>
      <xdr:spPr>
        <a:xfrm>
          <a:off x="2114550" y="1670050"/>
          <a:ext cx="2203450" cy="1181100"/>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t>TotalOrder</a:t>
          </a:r>
        </a:p>
        <a:p>
          <a:pPr algn="ctr"/>
          <a:r>
            <a:rPr lang="en-US" sz="2400" b="1" i="1"/>
            <a:t>500</a:t>
          </a:r>
        </a:p>
      </xdr:txBody>
    </xdr:sp>
    <xdr:clientData/>
  </xdr:twoCellAnchor>
  <xdr:twoCellAnchor>
    <xdr:from>
      <xdr:col>7</xdr:col>
      <xdr:colOff>69850</xdr:colOff>
      <xdr:row>9</xdr:row>
      <xdr:rowOff>146050</xdr:rowOff>
    </xdr:from>
    <xdr:to>
      <xdr:col>11</xdr:col>
      <xdr:colOff>495300</xdr:colOff>
      <xdr:row>16</xdr:row>
      <xdr:rowOff>101600</xdr:rowOff>
    </xdr:to>
    <xdr:sp macro="" textlink="">
      <xdr:nvSpPr>
        <xdr:cNvPr id="5" name="Oval 4">
          <a:extLst>
            <a:ext uri="{FF2B5EF4-FFF2-40B4-BE49-F238E27FC236}">
              <a16:creationId xmlns:a16="http://schemas.microsoft.com/office/drawing/2014/main" id="{562C4611-752A-F451-2716-9BE78514ED2A}"/>
            </a:ext>
          </a:extLst>
        </xdr:cNvPr>
        <xdr:cNvSpPr/>
      </xdr:nvSpPr>
      <xdr:spPr>
        <a:xfrm>
          <a:off x="4337050" y="1803400"/>
          <a:ext cx="2863850" cy="1244600"/>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t>TotalQuantitySold</a:t>
          </a:r>
        </a:p>
        <a:p>
          <a:pPr algn="ctr"/>
          <a:r>
            <a:rPr lang="en-US" sz="1800" b="1" i="1"/>
            <a:t>2851</a:t>
          </a:r>
        </a:p>
      </xdr:txBody>
    </xdr:sp>
    <xdr:clientData/>
  </xdr:twoCellAnchor>
  <xdr:twoCellAnchor>
    <xdr:from>
      <xdr:col>11</xdr:col>
      <xdr:colOff>539750</xdr:colOff>
      <xdr:row>9</xdr:row>
      <xdr:rowOff>177800</xdr:rowOff>
    </xdr:from>
    <xdr:to>
      <xdr:col>15</xdr:col>
      <xdr:colOff>558800</xdr:colOff>
      <xdr:row>16</xdr:row>
      <xdr:rowOff>139700</xdr:rowOff>
    </xdr:to>
    <xdr:sp macro="" textlink="">
      <xdr:nvSpPr>
        <xdr:cNvPr id="6" name="Oval 5">
          <a:extLst>
            <a:ext uri="{FF2B5EF4-FFF2-40B4-BE49-F238E27FC236}">
              <a16:creationId xmlns:a16="http://schemas.microsoft.com/office/drawing/2014/main" id="{B08E3C75-1B6F-8D02-148E-8F482AB01820}"/>
            </a:ext>
          </a:extLst>
        </xdr:cNvPr>
        <xdr:cNvSpPr/>
      </xdr:nvSpPr>
      <xdr:spPr>
        <a:xfrm>
          <a:off x="7245350" y="1835150"/>
          <a:ext cx="2457450" cy="1250950"/>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t>AverageSales</a:t>
          </a:r>
        </a:p>
        <a:p>
          <a:pPr algn="ctr"/>
          <a:r>
            <a:rPr lang="en-US" sz="1800" b="1" i="1"/>
            <a:t>$3,188.14</a:t>
          </a:r>
        </a:p>
      </xdr:txBody>
    </xdr:sp>
    <xdr:clientData/>
  </xdr:twoCellAnchor>
  <xdr:twoCellAnchor>
    <xdr:from>
      <xdr:col>15</xdr:col>
      <xdr:colOff>603250</xdr:colOff>
      <xdr:row>9</xdr:row>
      <xdr:rowOff>120650</xdr:rowOff>
    </xdr:from>
    <xdr:to>
      <xdr:col>20</xdr:col>
      <xdr:colOff>527050</xdr:colOff>
      <xdr:row>16</xdr:row>
      <xdr:rowOff>19050</xdr:rowOff>
    </xdr:to>
    <xdr:sp macro="" textlink="">
      <xdr:nvSpPr>
        <xdr:cNvPr id="7" name="Oval 6">
          <a:extLst>
            <a:ext uri="{FF2B5EF4-FFF2-40B4-BE49-F238E27FC236}">
              <a16:creationId xmlns:a16="http://schemas.microsoft.com/office/drawing/2014/main" id="{634EE314-5918-496D-C52B-64140B60D846}"/>
            </a:ext>
          </a:extLst>
        </xdr:cNvPr>
        <xdr:cNvSpPr/>
      </xdr:nvSpPr>
      <xdr:spPr>
        <a:xfrm rot="21369607">
          <a:off x="9747250" y="1778000"/>
          <a:ext cx="2971800" cy="1187450"/>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t>TotalUnitPrice</a:t>
          </a:r>
        </a:p>
        <a:p>
          <a:pPr algn="ctr"/>
          <a:r>
            <a:rPr lang="en-US" sz="1800" b="1" i="1"/>
            <a:t>$296,407.93</a:t>
          </a:r>
        </a:p>
      </xdr:txBody>
    </xdr:sp>
    <xdr:clientData/>
  </xdr:twoCellAnchor>
  <xdr:twoCellAnchor>
    <xdr:from>
      <xdr:col>20</xdr:col>
      <xdr:colOff>545825</xdr:colOff>
      <xdr:row>8</xdr:row>
      <xdr:rowOff>91562</xdr:rowOff>
    </xdr:from>
    <xdr:to>
      <xdr:col>25</xdr:col>
      <xdr:colOff>17743</xdr:colOff>
      <xdr:row>14</xdr:row>
      <xdr:rowOff>148712</xdr:rowOff>
    </xdr:to>
    <xdr:sp macro="" textlink="">
      <xdr:nvSpPr>
        <xdr:cNvPr id="8" name="Oval 7">
          <a:extLst>
            <a:ext uri="{FF2B5EF4-FFF2-40B4-BE49-F238E27FC236}">
              <a16:creationId xmlns:a16="http://schemas.microsoft.com/office/drawing/2014/main" id="{0366640C-1E8D-A6E2-4A56-F1EFCECC1FD4}"/>
            </a:ext>
          </a:extLst>
        </xdr:cNvPr>
        <xdr:cNvSpPr/>
      </xdr:nvSpPr>
      <xdr:spPr>
        <a:xfrm rot="21088566">
          <a:off x="13753825" y="1513962"/>
          <a:ext cx="2773918" cy="1123950"/>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t>AverageUnitPrice</a:t>
          </a:r>
        </a:p>
        <a:p>
          <a:pPr algn="ctr"/>
          <a:r>
            <a:rPr lang="en-US" sz="1800" b="1" i="1"/>
            <a:t>$592.82</a:t>
          </a:r>
        </a:p>
      </xdr:txBody>
    </xdr:sp>
    <xdr:clientData/>
  </xdr:twoCellAnchor>
  <xdr:twoCellAnchor>
    <xdr:from>
      <xdr:col>17</xdr:col>
      <xdr:colOff>25400</xdr:colOff>
      <xdr:row>38</xdr:row>
      <xdr:rowOff>25399</xdr:rowOff>
    </xdr:from>
    <xdr:to>
      <xdr:col>22</xdr:col>
      <xdr:colOff>0</xdr:colOff>
      <xdr:row>43</xdr:row>
      <xdr:rowOff>19049</xdr:rowOff>
    </xdr:to>
    <xdr:sp macro="" textlink="">
      <xdr:nvSpPr>
        <xdr:cNvPr id="9" name="Rectangle 8">
          <a:extLst>
            <a:ext uri="{FF2B5EF4-FFF2-40B4-BE49-F238E27FC236}">
              <a16:creationId xmlns:a16="http://schemas.microsoft.com/office/drawing/2014/main" id="{44EE9D35-AD8B-8EE8-9B7B-AE25FFC32AA0}"/>
            </a:ext>
          </a:extLst>
        </xdr:cNvPr>
        <xdr:cNvSpPr/>
      </xdr:nvSpPr>
      <xdr:spPr>
        <a:xfrm>
          <a:off x="11252200" y="6781799"/>
          <a:ext cx="3276600" cy="8826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t>TopPerformingSalesPerson</a:t>
          </a:r>
        </a:p>
        <a:p>
          <a:pPr algn="ctr"/>
          <a:r>
            <a:rPr lang="en-US" sz="1800" b="1" i="1"/>
            <a:t>David</a:t>
          </a:r>
        </a:p>
      </xdr:txBody>
    </xdr:sp>
    <xdr:clientData/>
  </xdr:twoCellAnchor>
  <xdr:twoCellAnchor>
    <xdr:from>
      <xdr:col>8</xdr:col>
      <xdr:colOff>101600</xdr:colOff>
      <xdr:row>16</xdr:row>
      <xdr:rowOff>158750</xdr:rowOff>
    </xdr:from>
    <xdr:to>
      <xdr:col>22</xdr:col>
      <xdr:colOff>19050</xdr:colOff>
      <xdr:row>33</xdr:row>
      <xdr:rowOff>0</xdr:rowOff>
    </xdr:to>
    <xdr:graphicFrame macro="">
      <xdr:nvGraphicFramePr>
        <xdr:cNvPr id="11" name="Chart 10">
          <a:extLst>
            <a:ext uri="{FF2B5EF4-FFF2-40B4-BE49-F238E27FC236}">
              <a16:creationId xmlns:a16="http://schemas.microsoft.com/office/drawing/2014/main" id="{CB662BD2-B07F-424B-85FF-CE8B1905DF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25400</xdr:colOff>
      <xdr:row>33</xdr:row>
      <xdr:rowOff>19050</xdr:rowOff>
    </xdr:from>
    <xdr:to>
      <xdr:col>8</xdr:col>
      <xdr:colOff>215900</xdr:colOff>
      <xdr:row>48</xdr:row>
      <xdr:rowOff>0</xdr:rowOff>
    </xdr:to>
    <xdr:graphicFrame macro="">
      <xdr:nvGraphicFramePr>
        <xdr:cNvPr id="12" name="Chart 11">
          <a:extLst>
            <a:ext uri="{FF2B5EF4-FFF2-40B4-BE49-F238E27FC236}">
              <a16:creationId xmlns:a16="http://schemas.microsoft.com/office/drawing/2014/main" id="{67CD1498-74D5-4AD6-B88C-0F2CEA9D89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196850</xdr:colOff>
      <xdr:row>33</xdr:row>
      <xdr:rowOff>25399</xdr:rowOff>
    </xdr:from>
    <xdr:to>
      <xdr:col>17</xdr:col>
      <xdr:colOff>0</xdr:colOff>
      <xdr:row>48</xdr:row>
      <xdr:rowOff>6349</xdr:rowOff>
    </xdr:to>
    <xdr:graphicFrame macro="">
      <xdr:nvGraphicFramePr>
        <xdr:cNvPr id="13" name="Chart 12">
          <a:extLst>
            <a:ext uri="{FF2B5EF4-FFF2-40B4-BE49-F238E27FC236}">
              <a16:creationId xmlns:a16="http://schemas.microsoft.com/office/drawing/2014/main" id="{5CBBF53E-9983-4ADD-8EC1-7DC589443E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22</xdr:col>
      <xdr:colOff>44450</xdr:colOff>
      <xdr:row>23</xdr:row>
      <xdr:rowOff>165101</xdr:rowOff>
    </xdr:from>
    <xdr:to>
      <xdr:col>24</xdr:col>
      <xdr:colOff>628650</xdr:colOff>
      <xdr:row>33</xdr:row>
      <xdr:rowOff>6351</xdr:rowOff>
    </xdr:to>
    <mc:AlternateContent xmlns:mc="http://schemas.openxmlformats.org/markup-compatibility/2006">
      <mc:Choice xmlns:a14="http://schemas.microsoft.com/office/drawing/2010/main" Requires="a14">
        <xdr:graphicFrame macro="">
          <xdr:nvGraphicFramePr>
            <xdr:cNvPr id="17" name="Region">
              <a:extLst>
                <a:ext uri="{FF2B5EF4-FFF2-40B4-BE49-F238E27FC236}">
                  <a16:creationId xmlns:a16="http://schemas.microsoft.com/office/drawing/2014/main" id="{98180807-4383-7CD4-10C4-0A5E0DEFEE8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4573250" y="4254501"/>
              <a:ext cx="1905000" cy="1619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44450</xdr:colOff>
      <xdr:row>15</xdr:row>
      <xdr:rowOff>12701</xdr:rowOff>
    </xdr:from>
    <xdr:to>
      <xdr:col>25</xdr:col>
      <xdr:colOff>6350</xdr:colOff>
      <xdr:row>23</xdr:row>
      <xdr:rowOff>158750</xdr:rowOff>
    </xdr:to>
    <mc:AlternateContent xmlns:mc="http://schemas.openxmlformats.org/markup-compatibility/2006" xmlns:a14="http://schemas.microsoft.com/office/drawing/2010/main">
      <mc:Choice Requires="a14">
        <xdr:graphicFrame macro="">
          <xdr:nvGraphicFramePr>
            <xdr:cNvPr id="18" name="Product Category">
              <a:extLst>
                <a:ext uri="{FF2B5EF4-FFF2-40B4-BE49-F238E27FC236}">
                  <a16:creationId xmlns:a16="http://schemas.microsoft.com/office/drawing/2014/main" id="{9E0330DB-E8DC-6C4F-F2E2-3F0EF4B0164D}"/>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4573250" y="2679701"/>
              <a:ext cx="1943100" cy="1390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50800</xdr:colOff>
      <xdr:row>33</xdr:row>
      <xdr:rowOff>38100</xdr:rowOff>
    </xdr:from>
    <xdr:to>
      <xdr:col>24</xdr:col>
      <xdr:colOff>647700</xdr:colOff>
      <xdr:row>48</xdr:row>
      <xdr:rowOff>6350</xdr:rowOff>
    </xdr:to>
    <mc:AlternateContent xmlns:mc="http://schemas.openxmlformats.org/markup-compatibility/2006">
      <mc:Choice xmlns:a14="http://schemas.microsoft.com/office/drawing/2010/main" Requires="a14">
        <xdr:graphicFrame macro="">
          <xdr:nvGraphicFramePr>
            <xdr:cNvPr id="19" name="Months (Order Date)">
              <a:extLst>
                <a:ext uri="{FF2B5EF4-FFF2-40B4-BE49-F238E27FC236}">
                  <a16:creationId xmlns:a16="http://schemas.microsoft.com/office/drawing/2014/main" id="{15793875-D0A7-9882-0C78-1B93130B8489}"/>
                </a:ext>
              </a:extLst>
            </xdr:cNvPr>
            <xdr:cNvGraphicFramePr/>
          </xdr:nvGraphicFramePr>
          <xdr:xfrm>
            <a:off x="0" y="0"/>
            <a:ext cx="0" cy="0"/>
          </xdr:xfrm>
          <a:graphic>
            <a:graphicData uri="http://schemas.microsoft.com/office/drawing/2010/slicer">
              <sle:slicer xmlns:sle="http://schemas.microsoft.com/office/drawing/2010/slicer" name="Months (Order Date)"/>
            </a:graphicData>
          </a:graphic>
        </xdr:graphicFrame>
      </mc:Choice>
      <mc:Fallback>
        <xdr:sp macro="" textlink="">
          <xdr:nvSpPr>
            <xdr:cNvPr id="0" name=""/>
            <xdr:cNvSpPr>
              <a:spLocks noTextEdit="1"/>
            </xdr:cNvSpPr>
          </xdr:nvSpPr>
          <xdr:spPr>
            <a:xfrm>
              <a:off x="14579600" y="5905500"/>
              <a:ext cx="1917700" cy="2635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25400</xdr:colOff>
      <xdr:row>17</xdr:row>
      <xdr:rowOff>0</xdr:rowOff>
    </xdr:from>
    <xdr:to>
      <xdr:col>8</xdr:col>
      <xdr:colOff>88900</xdr:colOff>
      <xdr:row>32</xdr:row>
      <xdr:rowOff>165100</xdr:rowOff>
    </xdr:to>
    <xdr:graphicFrame macro="">
      <xdr:nvGraphicFramePr>
        <xdr:cNvPr id="20" name="Chart 19">
          <a:extLst>
            <a:ext uri="{FF2B5EF4-FFF2-40B4-BE49-F238E27FC236}">
              <a16:creationId xmlns:a16="http://schemas.microsoft.com/office/drawing/2014/main" id="{75C2A20F-DA4A-4BAA-8C0E-589A51623E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25400</xdr:colOff>
      <xdr:row>33</xdr:row>
      <xdr:rowOff>19050</xdr:rowOff>
    </xdr:from>
    <xdr:to>
      <xdr:col>22</xdr:col>
      <xdr:colOff>6350</xdr:colOff>
      <xdr:row>38</xdr:row>
      <xdr:rowOff>6350</xdr:rowOff>
    </xdr:to>
    <xdr:sp macro="" textlink="">
      <xdr:nvSpPr>
        <xdr:cNvPr id="21" name="Rectangle 20">
          <a:extLst>
            <a:ext uri="{FF2B5EF4-FFF2-40B4-BE49-F238E27FC236}">
              <a16:creationId xmlns:a16="http://schemas.microsoft.com/office/drawing/2014/main" id="{3A6E5FA8-13EE-DC4F-5720-479067FBB91C}"/>
            </a:ext>
          </a:extLst>
        </xdr:cNvPr>
        <xdr:cNvSpPr/>
      </xdr:nvSpPr>
      <xdr:spPr>
        <a:xfrm>
          <a:off x="11252200" y="5886450"/>
          <a:ext cx="3282950" cy="8763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t>TopPerformingProducts</a:t>
          </a:r>
        </a:p>
        <a:p>
          <a:pPr algn="ctr"/>
          <a:r>
            <a:rPr lang="en-US" sz="1800" b="1" i="1"/>
            <a:t>Headset</a:t>
          </a:r>
        </a:p>
      </xdr:txBody>
    </xdr:sp>
    <xdr:clientData/>
  </xdr:twoCellAnchor>
  <xdr:oneCellAnchor>
    <xdr:from>
      <xdr:col>16</xdr:col>
      <xdr:colOff>133350</xdr:colOff>
      <xdr:row>24</xdr:row>
      <xdr:rowOff>146050</xdr:rowOff>
    </xdr:from>
    <xdr:ext cx="184731" cy="264560"/>
    <xdr:sp macro="" textlink="">
      <xdr:nvSpPr>
        <xdr:cNvPr id="22" name="TextBox 21">
          <a:extLst>
            <a:ext uri="{FF2B5EF4-FFF2-40B4-BE49-F238E27FC236}">
              <a16:creationId xmlns:a16="http://schemas.microsoft.com/office/drawing/2014/main" id="{AB3E5FEB-01B8-AA8B-DC76-A1A14F8ECED3}"/>
            </a:ext>
          </a:extLst>
        </xdr:cNvPr>
        <xdr:cNvSpPr txBox="1"/>
      </xdr:nvSpPr>
      <xdr:spPr>
        <a:xfrm>
          <a:off x="9886950" y="4565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17</xdr:col>
      <xdr:colOff>31750</xdr:colOff>
      <xdr:row>43</xdr:row>
      <xdr:rowOff>50800</xdr:rowOff>
    </xdr:from>
    <xdr:to>
      <xdr:col>22</xdr:col>
      <xdr:colOff>6350</xdr:colOff>
      <xdr:row>48</xdr:row>
      <xdr:rowOff>6350</xdr:rowOff>
    </xdr:to>
    <xdr:sp macro="" textlink="">
      <xdr:nvSpPr>
        <xdr:cNvPr id="23" name="Rectangle 22">
          <a:extLst>
            <a:ext uri="{FF2B5EF4-FFF2-40B4-BE49-F238E27FC236}">
              <a16:creationId xmlns:a16="http://schemas.microsoft.com/office/drawing/2014/main" id="{83B9FF55-90DE-C5DD-248B-1B96AC044C5C}"/>
            </a:ext>
          </a:extLst>
        </xdr:cNvPr>
        <xdr:cNvSpPr/>
      </xdr:nvSpPr>
      <xdr:spPr>
        <a:xfrm>
          <a:off x="11258550" y="7696200"/>
          <a:ext cx="3276600" cy="8445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t>TotalPerformingCustomer</a:t>
          </a:r>
        </a:p>
        <a:p>
          <a:pPr algn="ctr"/>
          <a:r>
            <a:rPr lang="en-US" sz="1800" b="1" i="1"/>
            <a:t>Customer68</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54.922234837963" createdVersion="8" refreshedVersion="8" minRefreshableVersion="3" recordCount="500" xr:uid="{CE3833BE-0561-4BC4-9056-527189C8520C}">
  <cacheSource type="worksheet">
    <worksheetSource name="SalesData"/>
  </cacheSource>
  <cacheFields count="12">
    <cacheField name="Order Date" numFmtId="14">
      <sharedItems containsSemiMixedTypes="0" containsNonDate="0" containsDate="1" containsString="0" minDate="2026-01-01T00:00:00" maxDate="2026-07-31T00:00:00" count="184">
        <d v="2026-07-19T00:00:00"/>
        <d v="2026-02-26T00:00:00"/>
        <d v="2026-03-21T00:00:00"/>
        <d v="2026-03-31T00:00:00"/>
        <d v="2026-03-18T00:00:00"/>
        <d v="2026-06-19T00:00:00"/>
        <d v="2026-03-07T00:00:00"/>
        <d v="2026-02-01T00:00:00"/>
        <d v="2026-04-07T00:00:00"/>
        <d v="2026-06-28T00:00:00"/>
        <d v="2026-07-18T00:00:00"/>
        <d v="2026-03-11T00:00:00"/>
        <d v="2026-04-16T00:00:00"/>
        <d v="2026-06-16T00:00:00"/>
        <d v="2026-02-20T00:00:00"/>
        <d v="2026-01-30T00:00:00"/>
        <d v="2026-07-17T00:00:00"/>
        <d v="2026-02-02T00:00:00"/>
        <d v="2026-01-25T00:00:00"/>
        <d v="2026-06-02T00:00:00"/>
        <d v="2026-05-09T00:00:00"/>
        <d v="2026-04-29T00:00:00"/>
        <d v="2026-01-28T00:00:00"/>
        <d v="2026-01-10T00:00:00"/>
        <d v="2026-06-27T00:00:00"/>
        <d v="2026-04-11T00:00:00"/>
        <d v="2026-03-24T00:00:00"/>
        <d v="2026-01-12T00:00:00"/>
        <d v="2026-02-07T00:00:00"/>
        <d v="2026-07-29T00:00:00"/>
        <d v="2026-06-18T00:00:00"/>
        <d v="2026-04-25T00:00:00"/>
        <d v="2026-07-16T00:00:00"/>
        <d v="2026-02-19T00:00:00"/>
        <d v="2026-03-06T00:00:00"/>
        <d v="2026-03-29T00:00:00"/>
        <d v="2026-05-14T00:00:00"/>
        <d v="2026-01-08T00:00:00"/>
        <d v="2026-04-30T00:00:00"/>
        <d v="2026-05-01T00:00:00"/>
        <d v="2026-02-25T00:00:00"/>
        <d v="2026-06-08T00:00:00"/>
        <d v="2026-01-16T00:00:00"/>
        <d v="2026-07-25T00:00:00"/>
        <d v="2026-04-02T00:00:00"/>
        <d v="2026-04-01T00:00:00"/>
        <d v="2026-01-09T00:00:00"/>
        <d v="2026-05-22T00:00:00"/>
        <d v="2026-02-16T00:00:00"/>
        <d v="2026-03-04T00:00:00"/>
        <d v="2026-01-31T00:00:00"/>
        <d v="2026-03-17T00:00:00"/>
        <d v="2026-04-26T00:00:00"/>
        <d v="2026-07-14T00:00:00"/>
        <d v="2026-04-21T00:00:00"/>
        <d v="2026-01-27T00:00:00"/>
        <d v="2026-06-10T00:00:00"/>
        <d v="2026-02-28T00:00:00"/>
        <d v="2026-06-15T00:00:00"/>
        <d v="2026-02-15T00:00:00"/>
        <d v="2026-03-02T00:00:00"/>
        <d v="2026-04-20T00:00:00"/>
        <d v="2026-06-21T00:00:00"/>
        <d v="2026-04-15T00:00:00"/>
        <d v="2026-07-21T00:00:00"/>
        <d v="2026-04-24T00:00:00"/>
        <d v="2026-01-29T00:00:00"/>
        <d v="2026-03-15T00:00:00"/>
        <d v="2026-04-28T00:00:00"/>
        <d v="2026-07-06T00:00:00"/>
        <d v="2026-06-29T00:00:00"/>
        <d v="2026-04-19T00:00:00"/>
        <d v="2026-02-04T00:00:00"/>
        <d v="2026-07-03T00:00:00"/>
        <d v="2026-06-23T00:00:00"/>
        <d v="2026-05-24T00:00:00"/>
        <d v="2026-05-28T00:00:00"/>
        <d v="2026-03-27T00:00:00"/>
        <d v="2026-06-11T00:00:00"/>
        <d v="2026-05-25T00:00:00"/>
        <d v="2026-07-30T00:00:00"/>
        <d v="2026-04-14T00:00:00"/>
        <d v="2026-06-22T00:00:00"/>
        <d v="2026-07-02T00:00:00"/>
        <d v="2026-02-22T00:00:00"/>
        <d v="2026-06-24T00:00:00"/>
        <d v="2026-04-09T00:00:00"/>
        <d v="2026-03-10T00:00:00"/>
        <d v="2026-05-20T00:00:00"/>
        <d v="2026-02-24T00:00:00"/>
        <d v="2026-07-15T00:00:00"/>
        <d v="2026-01-15T00:00:00"/>
        <d v="2026-01-26T00:00:00"/>
        <d v="2026-01-21T00:00:00"/>
        <d v="2026-01-17T00:00:00"/>
        <d v="2026-04-27T00:00:00"/>
        <d v="2026-05-29T00:00:00"/>
        <d v="2026-01-11T00:00:00"/>
        <d v="2026-05-07T00:00:00"/>
        <d v="2026-01-18T00:00:00"/>
        <d v="2026-07-05T00:00:00"/>
        <d v="2026-01-23T00:00:00"/>
        <d v="2026-03-13T00:00:00"/>
        <d v="2026-02-06T00:00:00"/>
        <d v="2026-04-18T00:00:00"/>
        <d v="2026-06-01T00:00:00"/>
        <d v="2026-06-14T00:00:00"/>
        <d v="2026-01-02T00:00:00"/>
        <d v="2026-05-19T00:00:00"/>
        <d v="2026-04-04T00:00:00"/>
        <d v="2026-06-09T00:00:00"/>
        <d v="2026-01-24T00:00:00"/>
        <d v="2026-07-26T00:00:00"/>
        <d v="2026-06-12T00:00:00"/>
        <d v="2026-06-13T00:00:00"/>
        <d v="2026-06-07T00:00:00"/>
        <d v="2026-05-30T00:00:00"/>
        <d v="2026-04-13T00:00:00"/>
        <d v="2026-05-04T00:00:00"/>
        <d v="2026-07-13T00:00:00"/>
        <d v="2026-02-13T00:00:00"/>
        <d v="2026-03-12T00:00:00"/>
        <d v="2026-04-12T00:00:00"/>
        <d v="2026-04-22T00:00:00"/>
        <d v="2026-05-21T00:00:00"/>
        <d v="2026-05-13T00:00:00"/>
        <d v="2026-05-06T00:00:00"/>
        <d v="2026-02-12T00:00:00"/>
        <d v="2026-05-31T00:00:00"/>
        <d v="2026-03-03T00:00:00"/>
        <d v="2026-02-23T00:00:00"/>
        <d v="2026-06-17T00:00:00"/>
        <d v="2026-07-08T00:00:00"/>
        <d v="2026-03-16T00:00:00"/>
        <d v="2026-04-03T00:00:00"/>
        <d v="2026-07-12T00:00:00"/>
        <d v="2026-04-23T00:00:00"/>
        <d v="2026-06-03T00:00:00"/>
        <d v="2026-05-08T00:00:00"/>
        <d v="2026-02-08T00:00:00"/>
        <d v="2026-03-25T00:00:00"/>
        <d v="2026-01-19T00:00:00"/>
        <d v="2026-02-18T00:00:00"/>
        <d v="2026-04-05T00:00:00"/>
        <d v="2026-03-19T00:00:00"/>
        <d v="2026-01-20T00:00:00"/>
        <d v="2026-07-28T00:00:00"/>
        <d v="2026-01-22T00:00:00"/>
        <d v="2026-06-20T00:00:00"/>
        <d v="2026-05-02T00:00:00"/>
        <d v="2026-01-13T00:00:00"/>
        <d v="2026-06-25T00:00:00"/>
        <d v="2026-07-07T00:00:00"/>
        <d v="2026-04-08T00:00:00"/>
        <d v="2026-03-09T00:00:00"/>
        <d v="2026-03-23T00:00:00"/>
        <d v="2026-05-18T00:00:00"/>
        <d v="2026-05-23T00:00:00"/>
        <d v="2026-07-22T00:00:00"/>
        <d v="2026-07-04T00:00:00"/>
        <d v="2026-05-05T00:00:00"/>
        <d v="2026-05-27T00:00:00"/>
        <d v="2026-01-05T00:00:00"/>
        <d v="2026-02-21T00:00:00"/>
        <d v="2026-02-27T00:00:00"/>
        <d v="2026-02-09T00:00:00"/>
        <d v="2026-02-10T00:00:00"/>
        <d v="2026-07-09T00:00:00"/>
        <d v="2026-06-26T00:00:00"/>
        <d v="2026-01-14T00:00:00"/>
        <d v="2026-03-30T00:00:00"/>
        <d v="2026-04-06T00:00:00"/>
        <d v="2026-03-05T00:00:00"/>
        <d v="2026-07-10T00:00:00"/>
        <d v="2026-06-04T00:00:00"/>
        <d v="2026-05-17T00:00:00"/>
        <d v="2026-05-11T00:00:00"/>
        <d v="2026-01-06T00:00:00"/>
        <d v="2026-05-03T00:00:00"/>
        <d v="2026-07-20T00:00:00"/>
        <d v="2026-07-24T00:00:00"/>
        <d v="2026-06-05T00:00:00"/>
        <d v="2026-03-01T00:00:00"/>
        <d v="2026-01-01T00:00:00"/>
      </sharedItems>
      <fieldGroup par="11"/>
    </cacheField>
    <cacheField name="Order ID" numFmtId="0">
      <sharedItems/>
    </cacheField>
    <cacheField name="Customer Name" numFmtId="0">
      <sharedItems count="80">
        <s v="Customer 47"/>
        <s v="Customer 40"/>
        <s v="Customer 67"/>
        <s v="Customer 14"/>
        <s v="Customer 22"/>
        <s v="Customer 73"/>
        <s v="Customer 48"/>
        <s v="Customer 27"/>
        <s v="Customer 71"/>
        <s v="Customer 60"/>
        <s v="Customer 29"/>
        <s v="Customer 72"/>
        <s v="Customer 16"/>
        <s v="Customer 1"/>
        <s v="Customer 53"/>
        <s v="Customer 15"/>
        <s v="Customer 70"/>
        <s v="Customer 55"/>
        <s v="Customer 5"/>
        <s v="Customer 21"/>
        <s v="Customer 17"/>
        <s v="Customer 6"/>
        <s v="Customer 42"/>
        <s v="Customer 38"/>
        <s v="Customer 51"/>
        <s v="Customer 13"/>
        <s v="Customer 28"/>
        <s v="Customer 34"/>
        <s v="Customer 2"/>
        <s v="Customer 45"/>
        <s v="Customer 36"/>
        <s v="Customer 43"/>
        <s v="Customer 44"/>
        <s v="Customer 32"/>
        <s v="Customer 46"/>
        <s v="Customer 35"/>
        <s v="Customer 18"/>
        <s v="Customer 58"/>
        <s v="Customer 12"/>
        <s v="Customer 30"/>
        <s v="Customer 49"/>
        <s v="Customer 59"/>
        <s v="Customer 75"/>
        <s v="Customer 39"/>
        <s v="Customer 31"/>
        <s v="Customer 19"/>
        <s v="Customer 76"/>
        <s v="Customer 79"/>
        <s v="Customer 11"/>
        <s v="Customer 9"/>
        <s v="Customer 26"/>
        <s v="Customer 20"/>
        <s v="Customer 24"/>
        <s v="Customer 56"/>
        <s v="Customer 25"/>
        <s v="Customer 69"/>
        <s v="Customer 4"/>
        <s v="Customer 8"/>
        <s v="Customer 65"/>
        <s v="Customer 23"/>
        <s v="Customer 50"/>
        <s v="Customer 80"/>
        <s v="Customer 78"/>
        <s v="Customer 41"/>
        <s v="Customer 52"/>
        <s v="Customer 62"/>
        <s v="Customer 10"/>
        <s v="Customer 64"/>
        <s v="Customer 33"/>
        <s v="Customer 63"/>
        <s v="Customer 37"/>
        <s v="Customer 54"/>
        <s v="Customer 68"/>
        <s v="Customer 57"/>
        <s v="Customer 66"/>
        <s v="Customer 7"/>
        <s v="Customer 74"/>
        <s v="Customer 3"/>
        <s v="Customer 61"/>
        <s v="Customer 77"/>
      </sharedItems>
    </cacheField>
    <cacheField name="Region" numFmtId="0">
      <sharedItems containsBlank="1" count="5">
        <s v="North"/>
        <s v="East"/>
        <s v="West"/>
        <s v="South"/>
        <m u="1"/>
      </sharedItems>
    </cacheField>
    <cacheField name="Product Category" numFmtId="0">
      <sharedItems containsBlank="1" count="5">
        <s v="Furniture"/>
        <s v="Accessories"/>
        <s v="Office Supplies"/>
        <s v="Electronics"/>
        <m u="1"/>
      </sharedItems>
    </cacheField>
    <cacheField name="Product" numFmtId="0">
      <sharedItems count="13">
        <s v="Desk"/>
        <s v="Chair"/>
        <s v="Webcam"/>
        <s v="Pen"/>
        <s v="Headset"/>
        <s v="Printer Paper"/>
        <s v="USB Drive"/>
        <s v="Laptop"/>
        <s v="Monitor"/>
        <s v="Cabinet"/>
        <s v="Mouse"/>
        <s v="Notebook"/>
        <s v="Keyboard"/>
      </sharedItems>
    </cacheField>
    <cacheField name="Quantity" numFmtId="0">
      <sharedItems containsSemiMixedTypes="0" containsString="0" containsNumber="1" containsInteger="1" minValue="1" maxValue="10"/>
    </cacheField>
    <cacheField name="Unit Price" numFmtId="164">
      <sharedItems containsSemiMixedTypes="0" containsString="0" containsNumber="1" minValue="12.82" maxValue="1199.42"/>
    </cacheField>
    <cacheField name="Discount (%)" numFmtId="0">
      <sharedItems containsSemiMixedTypes="0" containsString="0" containsNumber="1" containsInteger="1" minValue="0" maxValue="15"/>
    </cacheField>
    <cacheField name="Salesperson" numFmtId="0">
      <sharedItems count="6">
        <s v="Fatima"/>
        <s v="Ben"/>
        <s v="David"/>
        <s v="Chris"/>
        <s v="Alice"/>
        <s v="Emma"/>
      </sharedItems>
    </cacheField>
    <cacheField name="SalesAmount" numFmtId="164">
      <sharedItems containsSemiMixedTypes="0" containsString="0" containsNumber="1" minValue="14.067" maxValue="11682.3"/>
    </cacheField>
    <cacheField name="Months (Order Date)" numFmtId="0" databaseField="0">
      <fieldGroup base="0">
        <rangePr groupBy="months" startDate="2026-01-01T00:00:00" endDate="2026-07-31T00:00:00"/>
        <groupItems count="14">
          <s v="&lt;1/1/2026"/>
          <s v="Jan"/>
          <s v="Feb"/>
          <s v="Mar"/>
          <s v="Apr"/>
          <s v="May"/>
          <s v="Jun"/>
          <s v="Jul"/>
          <s v="Aug"/>
          <s v="Sep"/>
          <s v="Oct"/>
          <s v="Nov"/>
          <s v="Dec"/>
          <s v="&gt;7/31/2026"/>
        </groupItems>
      </fieldGroup>
    </cacheField>
  </cacheFields>
  <extLst>
    <ext xmlns:x14="http://schemas.microsoft.com/office/spreadsheetml/2009/9/main" uri="{725AE2AE-9491-48be-B2B4-4EB974FC3084}">
      <x14:pivotCacheDefinition pivotCacheId="7305154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s v="ORD10001"/>
    <x v="0"/>
    <x v="0"/>
    <x v="0"/>
    <x v="0"/>
    <n v="2"/>
    <n v="406.33"/>
    <n v="15"/>
    <x v="0"/>
    <n v="690.76099999999997"/>
  </r>
  <r>
    <x v="1"/>
    <s v="ORD10002"/>
    <x v="1"/>
    <x v="1"/>
    <x v="0"/>
    <x v="1"/>
    <n v="2"/>
    <n v="223.08"/>
    <n v="5"/>
    <x v="1"/>
    <n v="423.85200000000003"/>
  </r>
  <r>
    <x v="2"/>
    <s v="ORD10003"/>
    <x v="2"/>
    <x v="2"/>
    <x v="1"/>
    <x v="2"/>
    <n v="10"/>
    <n v="569.66999999999996"/>
    <n v="0"/>
    <x v="2"/>
    <n v="5696.7"/>
  </r>
  <r>
    <x v="3"/>
    <s v="ORD10004"/>
    <x v="3"/>
    <x v="0"/>
    <x v="2"/>
    <x v="3"/>
    <n v="1"/>
    <n v="1145.42"/>
    <n v="0"/>
    <x v="0"/>
    <n v="1145.42"/>
  </r>
  <r>
    <x v="4"/>
    <s v="ORD10005"/>
    <x v="4"/>
    <x v="2"/>
    <x v="1"/>
    <x v="2"/>
    <n v="8"/>
    <n v="683.28"/>
    <n v="5"/>
    <x v="0"/>
    <n v="5192.9279999999999"/>
  </r>
  <r>
    <x v="5"/>
    <s v="ORD10006"/>
    <x v="5"/>
    <x v="3"/>
    <x v="1"/>
    <x v="4"/>
    <n v="8"/>
    <n v="1146"/>
    <n v="15"/>
    <x v="1"/>
    <n v="7792.8"/>
  </r>
  <r>
    <x v="6"/>
    <s v="ORD10007"/>
    <x v="6"/>
    <x v="3"/>
    <x v="2"/>
    <x v="5"/>
    <n v="4"/>
    <n v="510.82"/>
    <n v="0"/>
    <x v="3"/>
    <n v="2043.28"/>
  </r>
  <r>
    <x v="7"/>
    <s v="ORD10008"/>
    <x v="7"/>
    <x v="3"/>
    <x v="1"/>
    <x v="6"/>
    <n v="10"/>
    <n v="671.35"/>
    <n v="10"/>
    <x v="3"/>
    <n v="6042.1500000000005"/>
  </r>
  <r>
    <x v="8"/>
    <s v="ORD10009"/>
    <x v="5"/>
    <x v="1"/>
    <x v="1"/>
    <x v="6"/>
    <n v="2"/>
    <n v="975.92"/>
    <n v="10"/>
    <x v="0"/>
    <n v="1756.6559999999999"/>
  </r>
  <r>
    <x v="9"/>
    <s v="ORD10010"/>
    <x v="1"/>
    <x v="3"/>
    <x v="0"/>
    <x v="0"/>
    <n v="5"/>
    <n v="738.08"/>
    <n v="5"/>
    <x v="0"/>
    <n v="3505.88"/>
  </r>
  <r>
    <x v="10"/>
    <s v="ORD10011"/>
    <x v="8"/>
    <x v="3"/>
    <x v="0"/>
    <x v="1"/>
    <n v="3"/>
    <n v="1100.57"/>
    <n v="5"/>
    <x v="1"/>
    <n v="3136.6244999999999"/>
  </r>
  <r>
    <x v="11"/>
    <s v="ORD10012"/>
    <x v="9"/>
    <x v="3"/>
    <x v="3"/>
    <x v="7"/>
    <n v="5"/>
    <n v="652.66999999999996"/>
    <n v="10"/>
    <x v="3"/>
    <n v="2937.0149999999999"/>
  </r>
  <r>
    <x v="12"/>
    <s v="ORD10013"/>
    <x v="10"/>
    <x v="0"/>
    <x v="2"/>
    <x v="3"/>
    <n v="9"/>
    <n v="426.9"/>
    <n v="0"/>
    <x v="3"/>
    <n v="3842.1"/>
  </r>
  <r>
    <x v="13"/>
    <s v="ORD10014"/>
    <x v="11"/>
    <x v="0"/>
    <x v="1"/>
    <x v="6"/>
    <n v="4"/>
    <n v="325.31"/>
    <n v="15"/>
    <x v="0"/>
    <n v="1106.0540000000001"/>
  </r>
  <r>
    <x v="14"/>
    <s v="ORD10015"/>
    <x v="12"/>
    <x v="1"/>
    <x v="3"/>
    <x v="8"/>
    <n v="8"/>
    <n v="619.88"/>
    <n v="15"/>
    <x v="2"/>
    <n v="4215.1840000000002"/>
  </r>
  <r>
    <x v="1"/>
    <s v="ORD10016"/>
    <x v="13"/>
    <x v="3"/>
    <x v="0"/>
    <x v="9"/>
    <n v="5"/>
    <n v="812.2"/>
    <n v="15"/>
    <x v="0"/>
    <n v="3451.85"/>
  </r>
  <r>
    <x v="15"/>
    <s v="ORD10017"/>
    <x v="10"/>
    <x v="2"/>
    <x v="3"/>
    <x v="10"/>
    <n v="9"/>
    <n v="1053.95"/>
    <n v="0"/>
    <x v="1"/>
    <n v="9485.5500000000011"/>
  </r>
  <r>
    <x v="16"/>
    <s v="ORD10018"/>
    <x v="11"/>
    <x v="1"/>
    <x v="2"/>
    <x v="11"/>
    <n v="9"/>
    <n v="661.64"/>
    <n v="0"/>
    <x v="1"/>
    <n v="5954.76"/>
  </r>
  <r>
    <x v="17"/>
    <s v="ORD10019"/>
    <x v="14"/>
    <x v="3"/>
    <x v="3"/>
    <x v="8"/>
    <n v="5"/>
    <n v="513.52"/>
    <n v="0"/>
    <x v="1"/>
    <n v="2567.6"/>
  </r>
  <r>
    <x v="18"/>
    <s v="ORD10020"/>
    <x v="15"/>
    <x v="2"/>
    <x v="0"/>
    <x v="1"/>
    <n v="4"/>
    <n v="391.3"/>
    <n v="5"/>
    <x v="0"/>
    <n v="1486.94"/>
  </r>
  <r>
    <x v="19"/>
    <s v="ORD10021"/>
    <x v="16"/>
    <x v="1"/>
    <x v="3"/>
    <x v="12"/>
    <n v="9"/>
    <n v="201.61"/>
    <n v="10"/>
    <x v="2"/>
    <n v="1633.0410000000002"/>
  </r>
  <r>
    <x v="20"/>
    <s v="ORD10022"/>
    <x v="0"/>
    <x v="3"/>
    <x v="1"/>
    <x v="2"/>
    <n v="7"/>
    <n v="522.54"/>
    <n v="10"/>
    <x v="1"/>
    <n v="3292.002"/>
  </r>
  <r>
    <x v="21"/>
    <s v="ORD10023"/>
    <x v="17"/>
    <x v="0"/>
    <x v="0"/>
    <x v="9"/>
    <n v="8"/>
    <n v="155.5"/>
    <n v="5"/>
    <x v="4"/>
    <n v="1181.8"/>
  </r>
  <r>
    <x v="22"/>
    <s v="ORD10024"/>
    <x v="18"/>
    <x v="3"/>
    <x v="3"/>
    <x v="8"/>
    <n v="6"/>
    <n v="484.42"/>
    <n v="0"/>
    <x v="2"/>
    <n v="2906.52"/>
  </r>
  <r>
    <x v="23"/>
    <s v="ORD10025"/>
    <x v="19"/>
    <x v="1"/>
    <x v="2"/>
    <x v="5"/>
    <n v="7"/>
    <n v="300.05"/>
    <n v="10"/>
    <x v="2"/>
    <n v="1890.3150000000001"/>
  </r>
  <r>
    <x v="24"/>
    <s v="ORD10026"/>
    <x v="20"/>
    <x v="0"/>
    <x v="1"/>
    <x v="2"/>
    <n v="6"/>
    <n v="824.26"/>
    <n v="15"/>
    <x v="5"/>
    <n v="4203.7259999999997"/>
  </r>
  <r>
    <x v="25"/>
    <s v="ORD10027"/>
    <x v="1"/>
    <x v="1"/>
    <x v="2"/>
    <x v="3"/>
    <n v="3"/>
    <n v="670.14"/>
    <n v="5"/>
    <x v="3"/>
    <n v="1909.8989999999999"/>
  </r>
  <r>
    <x v="19"/>
    <s v="ORD10028"/>
    <x v="21"/>
    <x v="0"/>
    <x v="2"/>
    <x v="11"/>
    <n v="2"/>
    <n v="151.74"/>
    <n v="0"/>
    <x v="3"/>
    <n v="303.48"/>
  </r>
  <r>
    <x v="26"/>
    <s v="ORD10029"/>
    <x v="13"/>
    <x v="1"/>
    <x v="0"/>
    <x v="9"/>
    <n v="1"/>
    <n v="652.22"/>
    <n v="0"/>
    <x v="5"/>
    <n v="652.22"/>
  </r>
  <r>
    <x v="27"/>
    <s v="ORD10030"/>
    <x v="22"/>
    <x v="0"/>
    <x v="2"/>
    <x v="5"/>
    <n v="2"/>
    <n v="951.04"/>
    <n v="0"/>
    <x v="3"/>
    <n v="1902.08"/>
  </r>
  <r>
    <x v="28"/>
    <s v="ORD10031"/>
    <x v="0"/>
    <x v="3"/>
    <x v="1"/>
    <x v="6"/>
    <n v="7"/>
    <n v="623.26"/>
    <n v="5"/>
    <x v="3"/>
    <n v="4144.6789999999992"/>
  </r>
  <r>
    <x v="29"/>
    <s v="ORD10032"/>
    <x v="9"/>
    <x v="2"/>
    <x v="2"/>
    <x v="5"/>
    <n v="8"/>
    <n v="344.44"/>
    <n v="5"/>
    <x v="3"/>
    <n v="2617.7439999999997"/>
  </r>
  <r>
    <x v="30"/>
    <s v="ORD10033"/>
    <x v="23"/>
    <x v="0"/>
    <x v="0"/>
    <x v="0"/>
    <n v="9"/>
    <n v="1193.76"/>
    <n v="0"/>
    <x v="4"/>
    <n v="10743.84"/>
  </r>
  <r>
    <x v="31"/>
    <s v="ORD10034"/>
    <x v="9"/>
    <x v="2"/>
    <x v="0"/>
    <x v="0"/>
    <n v="5"/>
    <n v="242.87"/>
    <n v="15"/>
    <x v="0"/>
    <n v="1032.1975"/>
  </r>
  <r>
    <x v="32"/>
    <s v="ORD10035"/>
    <x v="24"/>
    <x v="0"/>
    <x v="3"/>
    <x v="8"/>
    <n v="8"/>
    <n v="417.13"/>
    <n v="15"/>
    <x v="2"/>
    <n v="2836.4839999999999"/>
  </r>
  <r>
    <x v="33"/>
    <s v="ORD10036"/>
    <x v="25"/>
    <x v="1"/>
    <x v="2"/>
    <x v="5"/>
    <n v="10"/>
    <n v="34.159999999999997"/>
    <n v="15"/>
    <x v="1"/>
    <n v="290.35999999999996"/>
  </r>
  <r>
    <x v="34"/>
    <s v="ORD10037"/>
    <x v="26"/>
    <x v="1"/>
    <x v="3"/>
    <x v="7"/>
    <n v="8"/>
    <n v="208.45"/>
    <n v="5"/>
    <x v="4"/>
    <n v="1584.2199999999998"/>
  </r>
  <r>
    <x v="35"/>
    <s v="ORD10038"/>
    <x v="7"/>
    <x v="2"/>
    <x v="3"/>
    <x v="7"/>
    <n v="8"/>
    <n v="1118.33"/>
    <n v="0"/>
    <x v="1"/>
    <n v="8946.64"/>
  </r>
  <r>
    <x v="36"/>
    <s v="ORD10039"/>
    <x v="2"/>
    <x v="0"/>
    <x v="1"/>
    <x v="4"/>
    <n v="9"/>
    <n v="659.81"/>
    <n v="10"/>
    <x v="5"/>
    <n v="5344.4609999999993"/>
  </r>
  <r>
    <x v="37"/>
    <s v="ORD10040"/>
    <x v="27"/>
    <x v="3"/>
    <x v="0"/>
    <x v="9"/>
    <n v="3"/>
    <n v="782.19"/>
    <n v="0"/>
    <x v="2"/>
    <n v="2346.5700000000002"/>
  </r>
  <r>
    <x v="38"/>
    <s v="ORD10041"/>
    <x v="28"/>
    <x v="3"/>
    <x v="3"/>
    <x v="7"/>
    <n v="3"/>
    <n v="463.24"/>
    <n v="0"/>
    <x v="4"/>
    <n v="1389.72"/>
  </r>
  <r>
    <x v="39"/>
    <s v="ORD10042"/>
    <x v="22"/>
    <x v="3"/>
    <x v="3"/>
    <x v="7"/>
    <n v="4"/>
    <n v="251.67"/>
    <n v="15"/>
    <x v="5"/>
    <n v="855.67799999999988"/>
  </r>
  <r>
    <x v="40"/>
    <s v="ORD10043"/>
    <x v="29"/>
    <x v="3"/>
    <x v="0"/>
    <x v="1"/>
    <n v="10"/>
    <n v="160.44999999999999"/>
    <n v="10"/>
    <x v="3"/>
    <n v="1444.05"/>
  </r>
  <r>
    <x v="41"/>
    <s v="ORD10044"/>
    <x v="18"/>
    <x v="1"/>
    <x v="0"/>
    <x v="1"/>
    <n v="6"/>
    <n v="704.75"/>
    <n v="15"/>
    <x v="1"/>
    <n v="3594.2249999999999"/>
  </r>
  <r>
    <x v="42"/>
    <s v="ORD10045"/>
    <x v="30"/>
    <x v="0"/>
    <x v="0"/>
    <x v="9"/>
    <n v="7"/>
    <n v="924.92"/>
    <n v="10"/>
    <x v="2"/>
    <n v="5826.9960000000001"/>
  </r>
  <r>
    <x v="43"/>
    <s v="ORD10046"/>
    <x v="31"/>
    <x v="1"/>
    <x v="1"/>
    <x v="2"/>
    <n v="8"/>
    <n v="504.11"/>
    <n v="0"/>
    <x v="0"/>
    <n v="4032.88"/>
  </r>
  <r>
    <x v="44"/>
    <s v="ORD10047"/>
    <x v="4"/>
    <x v="3"/>
    <x v="3"/>
    <x v="8"/>
    <n v="6"/>
    <n v="24.67"/>
    <n v="10"/>
    <x v="5"/>
    <n v="133.21800000000002"/>
  </r>
  <r>
    <x v="13"/>
    <s v="ORD10048"/>
    <x v="22"/>
    <x v="2"/>
    <x v="3"/>
    <x v="7"/>
    <n v="2"/>
    <n v="399.93"/>
    <n v="10"/>
    <x v="3"/>
    <n v="719.87400000000002"/>
  </r>
  <r>
    <x v="45"/>
    <s v="ORD10049"/>
    <x v="1"/>
    <x v="3"/>
    <x v="0"/>
    <x v="1"/>
    <n v="2"/>
    <n v="98.62"/>
    <n v="0"/>
    <x v="1"/>
    <n v="197.24"/>
  </r>
  <r>
    <x v="46"/>
    <s v="ORD10050"/>
    <x v="13"/>
    <x v="0"/>
    <x v="2"/>
    <x v="5"/>
    <n v="10"/>
    <n v="998.64"/>
    <n v="15"/>
    <x v="3"/>
    <n v="8488.4399999999987"/>
  </r>
  <r>
    <x v="47"/>
    <s v="ORD10051"/>
    <x v="32"/>
    <x v="2"/>
    <x v="1"/>
    <x v="2"/>
    <n v="10"/>
    <n v="520.30999999999995"/>
    <n v="0"/>
    <x v="0"/>
    <n v="5203.0999999999995"/>
  </r>
  <r>
    <x v="14"/>
    <s v="ORD10052"/>
    <x v="33"/>
    <x v="3"/>
    <x v="2"/>
    <x v="3"/>
    <n v="6"/>
    <n v="166.21"/>
    <n v="0"/>
    <x v="4"/>
    <n v="997.26"/>
  </r>
  <r>
    <x v="48"/>
    <s v="ORD10053"/>
    <x v="0"/>
    <x v="1"/>
    <x v="0"/>
    <x v="0"/>
    <n v="10"/>
    <n v="225.99"/>
    <n v="10"/>
    <x v="4"/>
    <n v="2033.91"/>
  </r>
  <r>
    <x v="49"/>
    <s v="ORD10054"/>
    <x v="34"/>
    <x v="0"/>
    <x v="2"/>
    <x v="11"/>
    <n v="6"/>
    <n v="1097.42"/>
    <n v="0"/>
    <x v="4"/>
    <n v="6584.52"/>
  </r>
  <r>
    <x v="50"/>
    <s v="ORD10055"/>
    <x v="5"/>
    <x v="1"/>
    <x v="1"/>
    <x v="6"/>
    <n v="10"/>
    <n v="845.25"/>
    <n v="10"/>
    <x v="1"/>
    <n v="7607.25"/>
  </r>
  <r>
    <x v="51"/>
    <s v="ORD10056"/>
    <x v="0"/>
    <x v="0"/>
    <x v="1"/>
    <x v="4"/>
    <n v="3"/>
    <n v="1117.22"/>
    <n v="5"/>
    <x v="0"/>
    <n v="3184.0769999999998"/>
  </r>
  <r>
    <x v="52"/>
    <s v="ORD10057"/>
    <x v="13"/>
    <x v="1"/>
    <x v="2"/>
    <x v="11"/>
    <n v="10"/>
    <n v="1183.98"/>
    <n v="15"/>
    <x v="2"/>
    <n v="10063.83"/>
  </r>
  <r>
    <x v="53"/>
    <s v="ORD10058"/>
    <x v="1"/>
    <x v="1"/>
    <x v="0"/>
    <x v="9"/>
    <n v="10"/>
    <n v="742.25"/>
    <n v="10"/>
    <x v="0"/>
    <n v="6680.25"/>
  </r>
  <r>
    <x v="54"/>
    <s v="ORD10059"/>
    <x v="35"/>
    <x v="3"/>
    <x v="3"/>
    <x v="10"/>
    <n v="8"/>
    <n v="376.54"/>
    <n v="5"/>
    <x v="2"/>
    <n v="2861.7040000000002"/>
  </r>
  <r>
    <x v="55"/>
    <s v="ORD10060"/>
    <x v="10"/>
    <x v="2"/>
    <x v="0"/>
    <x v="0"/>
    <n v="8"/>
    <n v="1069.67"/>
    <n v="10"/>
    <x v="1"/>
    <n v="7701.6240000000007"/>
  </r>
  <r>
    <x v="5"/>
    <s v="ORD10061"/>
    <x v="28"/>
    <x v="3"/>
    <x v="3"/>
    <x v="10"/>
    <n v="7"/>
    <n v="797.72"/>
    <n v="0"/>
    <x v="1"/>
    <n v="5584.04"/>
  </r>
  <r>
    <x v="56"/>
    <s v="ORD10062"/>
    <x v="36"/>
    <x v="0"/>
    <x v="3"/>
    <x v="12"/>
    <n v="2"/>
    <n v="1091.08"/>
    <n v="5"/>
    <x v="1"/>
    <n v="2073.0519999999997"/>
  </r>
  <r>
    <x v="57"/>
    <s v="ORD10063"/>
    <x v="29"/>
    <x v="2"/>
    <x v="2"/>
    <x v="3"/>
    <n v="6"/>
    <n v="675.43"/>
    <n v="0"/>
    <x v="2"/>
    <n v="4052.58"/>
  </r>
  <r>
    <x v="18"/>
    <s v="ORD10064"/>
    <x v="37"/>
    <x v="3"/>
    <x v="0"/>
    <x v="9"/>
    <n v="4"/>
    <n v="282.35000000000002"/>
    <n v="15"/>
    <x v="3"/>
    <n v="959.99"/>
  </r>
  <r>
    <x v="58"/>
    <s v="ORD10065"/>
    <x v="1"/>
    <x v="3"/>
    <x v="3"/>
    <x v="10"/>
    <n v="1"/>
    <n v="290.39999999999998"/>
    <n v="5"/>
    <x v="5"/>
    <n v="275.87999999999994"/>
  </r>
  <r>
    <x v="59"/>
    <s v="ORD10066"/>
    <x v="38"/>
    <x v="0"/>
    <x v="0"/>
    <x v="9"/>
    <n v="4"/>
    <n v="803.88"/>
    <n v="15"/>
    <x v="2"/>
    <n v="2733.192"/>
  </r>
  <r>
    <x v="60"/>
    <s v="ORD10067"/>
    <x v="39"/>
    <x v="0"/>
    <x v="0"/>
    <x v="9"/>
    <n v="4"/>
    <n v="472.22"/>
    <n v="5"/>
    <x v="2"/>
    <n v="1794.4359999999999"/>
  </r>
  <r>
    <x v="19"/>
    <s v="ORD10068"/>
    <x v="39"/>
    <x v="3"/>
    <x v="2"/>
    <x v="3"/>
    <n v="2"/>
    <n v="944.48"/>
    <n v="15"/>
    <x v="0"/>
    <n v="1605.616"/>
  </r>
  <r>
    <x v="61"/>
    <s v="ORD10069"/>
    <x v="38"/>
    <x v="1"/>
    <x v="2"/>
    <x v="5"/>
    <n v="4"/>
    <n v="179.87"/>
    <n v="10"/>
    <x v="3"/>
    <n v="647.53200000000004"/>
  </r>
  <r>
    <x v="62"/>
    <s v="ORD10070"/>
    <x v="40"/>
    <x v="2"/>
    <x v="1"/>
    <x v="6"/>
    <n v="2"/>
    <n v="521.23"/>
    <n v="0"/>
    <x v="5"/>
    <n v="1042.46"/>
  </r>
  <r>
    <x v="63"/>
    <s v="ORD10071"/>
    <x v="41"/>
    <x v="3"/>
    <x v="3"/>
    <x v="8"/>
    <n v="3"/>
    <n v="193.19"/>
    <n v="10"/>
    <x v="5"/>
    <n v="521.61299999999994"/>
  </r>
  <r>
    <x v="64"/>
    <s v="ORD10072"/>
    <x v="42"/>
    <x v="3"/>
    <x v="1"/>
    <x v="6"/>
    <n v="4"/>
    <n v="316.89"/>
    <n v="0"/>
    <x v="1"/>
    <n v="1267.56"/>
  </r>
  <r>
    <x v="65"/>
    <s v="ORD10073"/>
    <x v="36"/>
    <x v="1"/>
    <x v="2"/>
    <x v="3"/>
    <n v="9"/>
    <n v="1030.72"/>
    <n v="0"/>
    <x v="5"/>
    <n v="9276.48"/>
  </r>
  <r>
    <x v="66"/>
    <s v="ORD10074"/>
    <x v="15"/>
    <x v="0"/>
    <x v="2"/>
    <x v="5"/>
    <n v="10"/>
    <n v="650.99"/>
    <n v="10"/>
    <x v="0"/>
    <n v="5858.91"/>
  </r>
  <r>
    <x v="35"/>
    <s v="ORD10075"/>
    <x v="43"/>
    <x v="1"/>
    <x v="0"/>
    <x v="9"/>
    <n v="7"/>
    <n v="864.97"/>
    <n v="5"/>
    <x v="2"/>
    <n v="5752.0504999999994"/>
  </r>
  <r>
    <x v="45"/>
    <s v="ORD10076"/>
    <x v="40"/>
    <x v="1"/>
    <x v="1"/>
    <x v="6"/>
    <n v="7"/>
    <n v="589.35"/>
    <n v="10"/>
    <x v="2"/>
    <n v="3712.9049999999997"/>
  </r>
  <r>
    <x v="67"/>
    <s v="ORD10077"/>
    <x v="9"/>
    <x v="1"/>
    <x v="2"/>
    <x v="5"/>
    <n v="5"/>
    <n v="944.13"/>
    <n v="10"/>
    <x v="1"/>
    <n v="4248.585"/>
  </r>
  <r>
    <x v="68"/>
    <s v="ORD10078"/>
    <x v="9"/>
    <x v="2"/>
    <x v="1"/>
    <x v="4"/>
    <n v="8"/>
    <n v="534.97"/>
    <n v="15"/>
    <x v="5"/>
    <n v="3637.7960000000003"/>
  </r>
  <r>
    <x v="68"/>
    <s v="ORD10079"/>
    <x v="44"/>
    <x v="3"/>
    <x v="2"/>
    <x v="11"/>
    <n v="6"/>
    <n v="473.67"/>
    <n v="10"/>
    <x v="4"/>
    <n v="2557.8180000000002"/>
  </r>
  <r>
    <x v="69"/>
    <s v="ORD10080"/>
    <x v="44"/>
    <x v="3"/>
    <x v="0"/>
    <x v="0"/>
    <n v="7"/>
    <n v="377.82"/>
    <n v="15"/>
    <x v="1"/>
    <n v="2248.0289999999995"/>
  </r>
  <r>
    <x v="70"/>
    <s v="ORD10081"/>
    <x v="18"/>
    <x v="0"/>
    <x v="3"/>
    <x v="8"/>
    <n v="8"/>
    <n v="806.43"/>
    <n v="0"/>
    <x v="1"/>
    <n v="6451.44"/>
  </r>
  <r>
    <x v="71"/>
    <s v="ORD10082"/>
    <x v="45"/>
    <x v="2"/>
    <x v="0"/>
    <x v="9"/>
    <n v="7"/>
    <n v="904.96"/>
    <n v="5"/>
    <x v="2"/>
    <n v="6017.9840000000004"/>
  </r>
  <r>
    <x v="72"/>
    <s v="ORD10083"/>
    <x v="46"/>
    <x v="3"/>
    <x v="1"/>
    <x v="4"/>
    <n v="5"/>
    <n v="1134.74"/>
    <n v="5"/>
    <x v="1"/>
    <n v="5390.0149999999994"/>
  </r>
  <r>
    <x v="73"/>
    <s v="ORD10084"/>
    <x v="31"/>
    <x v="2"/>
    <x v="0"/>
    <x v="9"/>
    <n v="4"/>
    <n v="78.400000000000006"/>
    <n v="0"/>
    <x v="0"/>
    <n v="313.60000000000002"/>
  </r>
  <r>
    <x v="74"/>
    <s v="ORD10085"/>
    <x v="37"/>
    <x v="1"/>
    <x v="1"/>
    <x v="4"/>
    <n v="8"/>
    <n v="995.34"/>
    <n v="5"/>
    <x v="0"/>
    <n v="7564.5839999999998"/>
  </r>
  <r>
    <x v="45"/>
    <s v="ORD10086"/>
    <x v="15"/>
    <x v="3"/>
    <x v="2"/>
    <x v="5"/>
    <n v="2"/>
    <n v="196.91"/>
    <n v="15"/>
    <x v="2"/>
    <n v="334.74699999999996"/>
  </r>
  <r>
    <x v="75"/>
    <s v="ORD10087"/>
    <x v="15"/>
    <x v="2"/>
    <x v="1"/>
    <x v="2"/>
    <n v="9"/>
    <n v="527.09"/>
    <n v="0"/>
    <x v="2"/>
    <n v="4743.8100000000004"/>
  </r>
  <r>
    <x v="76"/>
    <s v="ORD10088"/>
    <x v="10"/>
    <x v="0"/>
    <x v="3"/>
    <x v="8"/>
    <n v="4"/>
    <n v="1105.1500000000001"/>
    <n v="15"/>
    <x v="4"/>
    <n v="3757.51"/>
  </r>
  <r>
    <x v="77"/>
    <s v="ORD10089"/>
    <x v="47"/>
    <x v="2"/>
    <x v="3"/>
    <x v="10"/>
    <n v="9"/>
    <n v="146.38999999999999"/>
    <n v="5"/>
    <x v="5"/>
    <n v="1251.6344999999997"/>
  </r>
  <r>
    <x v="78"/>
    <s v="ORD10090"/>
    <x v="48"/>
    <x v="3"/>
    <x v="1"/>
    <x v="6"/>
    <n v="1"/>
    <n v="252.77"/>
    <n v="0"/>
    <x v="1"/>
    <n v="252.77"/>
  </r>
  <r>
    <x v="26"/>
    <s v="ORD10091"/>
    <x v="49"/>
    <x v="1"/>
    <x v="2"/>
    <x v="3"/>
    <n v="9"/>
    <n v="293.5"/>
    <n v="0"/>
    <x v="2"/>
    <n v="2641.5"/>
  </r>
  <r>
    <x v="53"/>
    <s v="ORD10092"/>
    <x v="50"/>
    <x v="1"/>
    <x v="3"/>
    <x v="10"/>
    <n v="7"/>
    <n v="385.77"/>
    <n v="10"/>
    <x v="2"/>
    <n v="2430.3510000000001"/>
  </r>
  <r>
    <x v="79"/>
    <s v="ORD10093"/>
    <x v="51"/>
    <x v="1"/>
    <x v="3"/>
    <x v="8"/>
    <n v="8"/>
    <n v="925.37"/>
    <n v="0"/>
    <x v="2"/>
    <n v="7402.96"/>
  </r>
  <r>
    <x v="62"/>
    <s v="ORD10094"/>
    <x v="14"/>
    <x v="0"/>
    <x v="1"/>
    <x v="4"/>
    <n v="6"/>
    <n v="505.36"/>
    <n v="0"/>
    <x v="2"/>
    <n v="3032.16"/>
  </r>
  <r>
    <x v="80"/>
    <s v="ORD10095"/>
    <x v="52"/>
    <x v="3"/>
    <x v="3"/>
    <x v="8"/>
    <n v="9"/>
    <n v="495.19"/>
    <n v="5"/>
    <x v="2"/>
    <n v="4233.8744999999999"/>
  </r>
  <r>
    <x v="81"/>
    <s v="ORD10096"/>
    <x v="11"/>
    <x v="3"/>
    <x v="2"/>
    <x v="11"/>
    <n v="5"/>
    <n v="600.87"/>
    <n v="15"/>
    <x v="0"/>
    <n v="2553.6974999999998"/>
  </r>
  <r>
    <x v="8"/>
    <s v="ORD10097"/>
    <x v="53"/>
    <x v="0"/>
    <x v="0"/>
    <x v="0"/>
    <n v="7"/>
    <n v="717.21"/>
    <n v="15"/>
    <x v="5"/>
    <n v="4267.3995000000004"/>
  </r>
  <r>
    <x v="82"/>
    <s v="ORD10098"/>
    <x v="54"/>
    <x v="1"/>
    <x v="2"/>
    <x v="11"/>
    <n v="9"/>
    <n v="1188.77"/>
    <n v="10"/>
    <x v="0"/>
    <n v="9629.0370000000003"/>
  </r>
  <r>
    <x v="83"/>
    <s v="ORD10099"/>
    <x v="55"/>
    <x v="2"/>
    <x v="2"/>
    <x v="11"/>
    <n v="6"/>
    <n v="154.77000000000001"/>
    <n v="0"/>
    <x v="1"/>
    <n v="928.62000000000012"/>
  </r>
  <r>
    <x v="84"/>
    <s v="ORD10100"/>
    <x v="38"/>
    <x v="1"/>
    <x v="1"/>
    <x v="4"/>
    <n v="9"/>
    <n v="938.37"/>
    <n v="15"/>
    <x v="1"/>
    <n v="7178.5304999999998"/>
  </r>
  <r>
    <x v="26"/>
    <s v="ORD10101"/>
    <x v="56"/>
    <x v="0"/>
    <x v="1"/>
    <x v="6"/>
    <n v="1"/>
    <n v="15.63"/>
    <n v="10"/>
    <x v="3"/>
    <n v="14.067"/>
  </r>
  <r>
    <x v="30"/>
    <s v="ORD10102"/>
    <x v="54"/>
    <x v="2"/>
    <x v="2"/>
    <x v="11"/>
    <n v="7"/>
    <n v="483.72"/>
    <n v="0"/>
    <x v="1"/>
    <n v="3386.04"/>
  </r>
  <r>
    <x v="85"/>
    <s v="ORD10103"/>
    <x v="49"/>
    <x v="1"/>
    <x v="0"/>
    <x v="0"/>
    <n v="2"/>
    <n v="141.54"/>
    <n v="5"/>
    <x v="5"/>
    <n v="268.92599999999999"/>
  </r>
  <r>
    <x v="86"/>
    <s v="ORD10104"/>
    <x v="0"/>
    <x v="1"/>
    <x v="1"/>
    <x v="2"/>
    <n v="3"/>
    <n v="182.68"/>
    <n v="0"/>
    <x v="1"/>
    <n v="548.04"/>
  </r>
  <r>
    <x v="80"/>
    <s v="ORD10105"/>
    <x v="12"/>
    <x v="0"/>
    <x v="3"/>
    <x v="8"/>
    <n v="3"/>
    <n v="1168.52"/>
    <n v="10"/>
    <x v="2"/>
    <n v="3155.0039999999999"/>
  </r>
  <r>
    <x v="49"/>
    <s v="ORD10106"/>
    <x v="21"/>
    <x v="1"/>
    <x v="1"/>
    <x v="4"/>
    <n v="8"/>
    <n v="898.35"/>
    <n v="5"/>
    <x v="2"/>
    <n v="6827.46"/>
  </r>
  <r>
    <x v="39"/>
    <s v="ORD10107"/>
    <x v="27"/>
    <x v="3"/>
    <x v="0"/>
    <x v="1"/>
    <n v="5"/>
    <n v="829.57"/>
    <n v="5"/>
    <x v="2"/>
    <n v="3940.4575"/>
  </r>
  <r>
    <x v="42"/>
    <s v="ORD10108"/>
    <x v="57"/>
    <x v="3"/>
    <x v="0"/>
    <x v="1"/>
    <n v="2"/>
    <n v="239.25"/>
    <n v="15"/>
    <x v="1"/>
    <n v="406.72499999999997"/>
  </r>
  <r>
    <x v="43"/>
    <s v="ORD10109"/>
    <x v="39"/>
    <x v="2"/>
    <x v="0"/>
    <x v="0"/>
    <n v="5"/>
    <n v="143.22999999999999"/>
    <n v="10"/>
    <x v="1"/>
    <n v="644.53499999999997"/>
  </r>
  <r>
    <x v="87"/>
    <s v="ORD10110"/>
    <x v="5"/>
    <x v="3"/>
    <x v="3"/>
    <x v="8"/>
    <n v="10"/>
    <n v="934.05"/>
    <n v="15"/>
    <x v="2"/>
    <n v="7939.4250000000002"/>
  </r>
  <r>
    <x v="88"/>
    <s v="ORD10111"/>
    <x v="32"/>
    <x v="1"/>
    <x v="0"/>
    <x v="1"/>
    <n v="10"/>
    <n v="866.49"/>
    <n v="0"/>
    <x v="5"/>
    <n v="8664.9"/>
  </r>
  <r>
    <x v="80"/>
    <s v="ORD10112"/>
    <x v="0"/>
    <x v="1"/>
    <x v="2"/>
    <x v="5"/>
    <n v="9"/>
    <n v="242.66"/>
    <n v="5"/>
    <x v="0"/>
    <n v="2074.7429999999999"/>
  </r>
  <r>
    <x v="5"/>
    <s v="ORD10113"/>
    <x v="54"/>
    <x v="0"/>
    <x v="3"/>
    <x v="12"/>
    <n v="6"/>
    <n v="665.15"/>
    <n v="15"/>
    <x v="2"/>
    <n v="3392.2649999999994"/>
  </r>
  <r>
    <x v="89"/>
    <s v="ORD10114"/>
    <x v="1"/>
    <x v="1"/>
    <x v="0"/>
    <x v="0"/>
    <n v="5"/>
    <n v="410.97"/>
    <n v="0"/>
    <x v="3"/>
    <n v="2054.8500000000004"/>
  </r>
  <r>
    <x v="90"/>
    <s v="ORD10115"/>
    <x v="39"/>
    <x v="3"/>
    <x v="1"/>
    <x v="6"/>
    <n v="3"/>
    <n v="52.02"/>
    <n v="0"/>
    <x v="0"/>
    <n v="156.06"/>
  </r>
  <r>
    <x v="91"/>
    <s v="ORD10116"/>
    <x v="41"/>
    <x v="1"/>
    <x v="2"/>
    <x v="11"/>
    <n v="9"/>
    <n v="464.98"/>
    <n v="0"/>
    <x v="0"/>
    <n v="4184.82"/>
  </r>
  <r>
    <x v="21"/>
    <s v="ORD10117"/>
    <x v="53"/>
    <x v="2"/>
    <x v="3"/>
    <x v="10"/>
    <n v="1"/>
    <n v="272.16000000000003"/>
    <n v="15"/>
    <x v="5"/>
    <n v="231.33600000000001"/>
  </r>
  <r>
    <x v="77"/>
    <s v="ORD10118"/>
    <x v="38"/>
    <x v="2"/>
    <x v="2"/>
    <x v="3"/>
    <n v="5"/>
    <n v="417.25"/>
    <n v="10"/>
    <x v="0"/>
    <n v="1877.625"/>
  </r>
  <r>
    <x v="92"/>
    <s v="ORD10119"/>
    <x v="58"/>
    <x v="3"/>
    <x v="2"/>
    <x v="3"/>
    <n v="4"/>
    <n v="79.12"/>
    <n v="15"/>
    <x v="3"/>
    <n v="269.00799999999998"/>
  </r>
  <r>
    <x v="93"/>
    <s v="ORD10120"/>
    <x v="7"/>
    <x v="3"/>
    <x v="0"/>
    <x v="0"/>
    <n v="6"/>
    <n v="22.12"/>
    <n v="10"/>
    <x v="4"/>
    <n v="119.44800000000001"/>
  </r>
  <r>
    <x v="55"/>
    <s v="ORD10121"/>
    <x v="49"/>
    <x v="0"/>
    <x v="2"/>
    <x v="5"/>
    <n v="10"/>
    <n v="752.55"/>
    <n v="15"/>
    <x v="2"/>
    <n v="6396.6750000000002"/>
  </r>
  <r>
    <x v="94"/>
    <s v="ORD10122"/>
    <x v="16"/>
    <x v="2"/>
    <x v="3"/>
    <x v="10"/>
    <n v="1"/>
    <n v="403.18"/>
    <n v="5"/>
    <x v="2"/>
    <n v="383.02100000000002"/>
  </r>
  <r>
    <x v="77"/>
    <s v="ORD10123"/>
    <x v="59"/>
    <x v="3"/>
    <x v="1"/>
    <x v="6"/>
    <n v="8"/>
    <n v="72.61"/>
    <n v="15"/>
    <x v="2"/>
    <n v="493.74799999999999"/>
  </r>
  <r>
    <x v="1"/>
    <s v="ORD10124"/>
    <x v="32"/>
    <x v="0"/>
    <x v="0"/>
    <x v="1"/>
    <n v="8"/>
    <n v="724.57"/>
    <n v="5"/>
    <x v="3"/>
    <n v="5506.732"/>
  </r>
  <r>
    <x v="95"/>
    <s v="ORD10125"/>
    <x v="60"/>
    <x v="3"/>
    <x v="3"/>
    <x v="10"/>
    <n v="3"/>
    <n v="262.39"/>
    <n v="15"/>
    <x v="3"/>
    <n v="669.09449999999993"/>
  </r>
  <r>
    <x v="96"/>
    <s v="ORD10126"/>
    <x v="37"/>
    <x v="0"/>
    <x v="3"/>
    <x v="8"/>
    <n v="4"/>
    <n v="13.06"/>
    <n v="15"/>
    <x v="2"/>
    <n v="44.404000000000003"/>
  </r>
  <r>
    <x v="97"/>
    <s v="ORD10127"/>
    <x v="20"/>
    <x v="0"/>
    <x v="2"/>
    <x v="5"/>
    <n v="4"/>
    <n v="63.05"/>
    <n v="10"/>
    <x v="2"/>
    <n v="226.98"/>
  </r>
  <r>
    <x v="98"/>
    <s v="ORD10128"/>
    <x v="60"/>
    <x v="0"/>
    <x v="3"/>
    <x v="8"/>
    <n v="9"/>
    <n v="176.8"/>
    <n v="15"/>
    <x v="0"/>
    <n v="1352.52"/>
  </r>
  <r>
    <x v="69"/>
    <s v="ORD10129"/>
    <x v="38"/>
    <x v="2"/>
    <x v="2"/>
    <x v="3"/>
    <n v="5"/>
    <n v="857.32"/>
    <n v="5"/>
    <x v="3"/>
    <n v="4072.27"/>
  </r>
  <r>
    <x v="61"/>
    <s v="ORD10130"/>
    <x v="54"/>
    <x v="2"/>
    <x v="3"/>
    <x v="12"/>
    <n v="3"/>
    <n v="482.23"/>
    <n v="0"/>
    <x v="3"/>
    <n v="1446.69"/>
  </r>
  <r>
    <x v="21"/>
    <s v="ORD10131"/>
    <x v="12"/>
    <x v="2"/>
    <x v="3"/>
    <x v="7"/>
    <n v="5"/>
    <n v="1032.9000000000001"/>
    <n v="5"/>
    <x v="2"/>
    <n v="4906.2749999999996"/>
  </r>
  <r>
    <x v="99"/>
    <s v="ORD10132"/>
    <x v="47"/>
    <x v="2"/>
    <x v="2"/>
    <x v="3"/>
    <n v="2"/>
    <n v="1064.94"/>
    <n v="5"/>
    <x v="1"/>
    <n v="2023.386"/>
  </r>
  <r>
    <x v="100"/>
    <s v="ORD10133"/>
    <x v="43"/>
    <x v="1"/>
    <x v="0"/>
    <x v="1"/>
    <n v="10"/>
    <n v="1080.44"/>
    <n v="5"/>
    <x v="4"/>
    <n v="10264.18"/>
  </r>
  <r>
    <x v="53"/>
    <s v="ORD10134"/>
    <x v="61"/>
    <x v="0"/>
    <x v="3"/>
    <x v="10"/>
    <n v="4"/>
    <n v="15.9"/>
    <n v="10"/>
    <x v="2"/>
    <n v="57.24"/>
  </r>
  <r>
    <x v="80"/>
    <s v="ORD10135"/>
    <x v="44"/>
    <x v="2"/>
    <x v="1"/>
    <x v="2"/>
    <n v="3"/>
    <n v="901.08"/>
    <n v="15"/>
    <x v="2"/>
    <n v="2297.7540000000004"/>
  </r>
  <r>
    <x v="101"/>
    <s v="ORD10136"/>
    <x v="26"/>
    <x v="0"/>
    <x v="0"/>
    <x v="0"/>
    <n v="4"/>
    <n v="773.04"/>
    <n v="10"/>
    <x v="4"/>
    <n v="2782.944"/>
  </r>
  <r>
    <x v="79"/>
    <s v="ORD10137"/>
    <x v="56"/>
    <x v="0"/>
    <x v="1"/>
    <x v="2"/>
    <n v="8"/>
    <n v="608.13"/>
    <n v="5"/>
    <x v="2"/>
    <n v="4621.7879999999996"/>
  </r>
  <r>
    <x v="26"/>
    <s v="ORD10138"/>
    <x v="47"/>
    <x v="1"/>
    <x v="1"/>
    <x v="4"/>
    <n v="9"/>
    <n v="498.73"/>
    <n v="10"/>
    <x v="5"/>
    <n v="4039.7129999999997"/>
  </r>
  <r>
    <x v="102"/>
    <s v="ORD10139"/>
    <x v="25"/>
    <x v="2"/>
    <x v="1"/>
    <x v="2"/>
    <n v="7"/>
    <n v="1128.5999999999999"/>
    <n v="15"/>
    <x v="3"/>
    <n v="6715.1699999999992"/>
  </r>
  <r>
    <x v="68"/>
    <s v="ORD10140"/>
    <x v="3"/>
    <x v="2"/>
    <x v="3"/>
    <x v="8"/>
    <n v="1"/>
    <n v="33.6"/>
    <n v="5"/>
    <x v="4"/>
    <n v="31.919999999999998"/>
  </r>
  <r>
    <x v="103"/>
    <s v="ORD10141"/>
    <x v="4"/>
    <x v="0"/>
    <x v="1"/>
    <x v="4"/>
    <n v="7"/>
    <n v="872.22"/>
    <n v="15"/>
    <x v="5"/>
    <n v="5189.7089999999998"/>
  </r>
  <r>
    <x v="10"/>
    <s v="ORD10142"/>
    <x v="9"/>
    <x v="1"/>
    <x v="2"/>
    <x v="5"/>
    <n v="5"/>
    <n v="887.18"/>
    <n v="15"/>
    <x v="2"/>
    <n v="3770.5149999999994"/>
  </r>
  <r>
    <x v="54"/>
    <s v="ORD10143"/>
    <x v="62"/>
    <x v="1"/>
    <x v="3"/>
    <x v="12"/>
    <n v="4"/>
    <n v="36.42"/>
    <n v="5"/>
    <x v="2"/>
    <n v="138.39599999999999"/>
  </r>
  <r>
    <x v="2"/>
    <s v="ORD10144"/>
    <x v="9"/>
    <x v="0"/>
    <x v="3"/>
    <x v="10"/>
    <n v="6"/>
    <n v="323.42"/>
    <n v="10"/>
    <x v="4"/>
    <n v="1746.4680000000001"/>
  </r>
  <r>
    <x v="93"/>
    <s v="ORD10145"/>
    <x v="27"/>
    <x v="1"/>
    <x v="1"/>
    <x v="4"/>
    <n v="8"/>
    <n v="1107.46"/>
    <n v="15"/>
    <x v="0"/>
    <n v="7530.7280000000001"/>
  </r>
  <r>
    <x v="104"/>
    <s v="ORD10146"/>
    <x v="29"/>
    <x v="1"/>
    <x v="2"/>
    <x v="5"/>
    <n v="9"/>
    <n v="616.07000000000005"/>
    <n v="5"/>
    <x v="0"/>
    <n v="5267.3985000000002"/>
  </r>
  <r>
    <x v="86"/>
    <s v="ORD10147"/>
    <x v="63"/>
    <x v="3"/>
    <x v="0"/>
    <x v="0"/>
    <n v="4"/>
    <n v="165.6"/>
    <n v="0"/>
    <x v="0"/>
    <n v="662.4"/>
  </r>
  <r>
    <x v="42"/>
    <s v="ORD10148"/>
    <x v="20"/>
    <x v="2"/>
    <x v="1"/>
    <x v="6"/>
    <n v="4"/>
    <n v="262.48"/>
    <n v="10"/>
    <x v="5"/>
    <n v="944.92800000000011"/>
  </r>
  <r>
    <x v="105"/>
    <s v="ORD10149"/>
    <x v="64"/>
    <x v="0"/>
    <x v="2"/>
    <x v="11"/>
    <n v="5"/>
    <n v="345.04"/>
    <n v="10"/>
    <x v="1"/>
    <n v="1552.68"/>
  </r>
  <r>
    <x v="89"/>
    <s v="ORD10150"/>
    <x v="21"/>
    <x v="1"/>
    <x v="3"/>
    <x v="10"/>
    <n v="9"/>
    <n v="1185.22"/>
    <n v="5"/>
    <x v="2"/>
    <n v="10133.630999999999"/>
  </r>
  <r>
    <x v="106"/>
    <s v="ORD10151"/>
    <x v="49"/>
    <x v="0"/>
    <x v="3"/>
    <x v="8"/>
    <n v="5"/>
    <n v="743.66"/>
    <n v="10"/>
    <x v="2"/>
    <n v="3346.47"/>
  </r>
  <r>
    <x v="80"/>
    <s v="ORD10152"/>
    <x v="12"/>
    <x v="0"/>
    <x v="3"/>
    <x v="10"/>
    <n v="2"/>
    <n v="621.9"/>
    <n v="10"/>
    <x v="4"/>
    <n v="1119.42"/>
  </r>
  <r>
    <x v="107"/>
    <s v="ORD10153"/>
    <x v="39"/>
    <x v="0"/>
    <x v="0"/>
    <x v="9"/>
    <n v="10"/>
    <n v="691.58"/>
    <n v="10"/>
    <x v="3"/>
    <n v="6224.22"/>
  </r>
  <r>
    <x v="73"/>
    <s v="ORD10154"/>
    <x v="0"/>
    <x v="0"/>
    <x v="1"/>
    <x v="4"/>
    <n v="10"/>
    <n v="171.27"/>
    <n v="10"/>
    <x v="2"/>
    <n v="1541.43"/>
  </r>
  <r>
    <x v="108"/>
    <s v="ORD10155"/>
    <x v="50"/>
    <x v="3"/>
    <x v="0"/>
    <x v="1"/>
    <n v="4"/>
    <n v="1001.37"/>
    <n v="10"/>
    <x v="4"/>
    <n v="3604.9320000000002"/>
  </r>
  <r>
    <x v="99"/>
    <s v="ORD10156"/>
    <x v="55"/>
    <x v="1"/>
    <x v="1"/>
    <x v="6"/>
    <n v="8"/>
    <n v="546.23"/>
    <n v="10"/>
    <x v="4"/>
    <n v="3932.8560000000002"/>
  </r>
  <r>
    <x v="103"/>
    <s v="ORD10157"/>
    <x v="14"/>
    <x v="2"/>
    <x v="2"/>
    <x v="3"/>
    <n v="3"/>
    <n v="120.26"/>
    <n v="5"/>
    <x v="2"/>
    <n v="342.74099999999999"/>
  </r>
  <r>
    <x v="109"/>
    <s v="ORD10158"/>
    <x v="65"/>
    <x v="1"/>
    <x v="0"/>
    <x v="9"/>
    <n v="7"/>
    <n v="710.1"/>
    <n v="10"/>
    <x v="3"/>
    <n v="4473.63"/>
  </r>
  <r>
    <x v="105"/>
    <s v="ORD10159"/>
    <x v="55"/>
    <x v="2"/>
    <x v="2"/>
    <x v="5"/>
    <n v="9"/>
    <n v="538.15"/>
    <n v="10"/>
    <x v="5"/>
    <n v="4359.0149999999994"/>
  </r>
  <r>
    <x v="110"/>
    <s v="ORD10160"/>
    <x v="8"/>
    <x v="3"/>
    <x v="2"/>
    <x v="5"/>
    <n v="7"/>
    <n v="601.58000000000004"/>
    <n v="10"/>
    <x v="5"/>
    <n v="3789.9540000000006"/>
  </r>
  <r>
    <x v="63"/>
    <s v="ORD10161"/>
    <x v="5"/>
    <x v="0"/>
    <x v="0"/>
    <x v="9"/>
    <n v="4"/>
    <n v="325.89"/>
    <n v="10"/>
    <x v="0"/>
    <n v="1173.204"/>
  </r>
  <r>
    <x v="111"/>
    <s v="ORD10162"/>
    <x v="36"/>
    <x v="2"/>
    <x v="3"/>
    <x v="7"/>
    <n v="9"/>
    <n v="820.9"/>
    <n v="5"/>
    <x v="1"/>
    <n v="7018.6949999999988"/>
  </r>
  <r>
    <x v="112"/>
    <s v="ORD10163"/>
    <x v="66"/>
    <x v="0"/>
    <x v="1"/>
    <x v="4"/>
    <n v="5"/>
    <n v="799.61"/>
    <n v="0"/>
    <x v="2"/>
    <n v="3998.05"/>
  </r>
  <r>
    <x v="113"/>
    <s v="ORD10164"/>
    <x v="67"/>
    <x v="0"/>
    <x v="3"/>
    <x v="12"/>
    <n v="10"/>
    <n v="939.23"/>
    <n v="5"/>
    <x v="0"/>
    <n v="8922.6849999999995"/>
  </r>
  <r>
    <x v="114"/>
    <s v="ORD10165"/>
    <x v="6"/>
    <x v="3"/>
    <x v="0"/>
    <x v="0"/>
    <n v="5"/>
    <n v="263.06"/>
    <n v="10"/>
    <x v="1"/>
    <n v="1183.77"/>
  </r>
  <r>
    <x v="61"/>
    <s v="ORD10166"/>
    <x v="68"/>
    <x v="0"/>
    <x v="1"/>
    <x v="6"/>
    <n v="3"/>
    <n v="22.19"/>
    <n v="15"/>
    <x v="0"/>
    <n v="56.584500000000006"/>
  </r>
  <r>
    <x v="115"/>
    <s v="ORD10167"/>
    <x v="36"/>
    <x v="0"/>
    <x v="1"/>
    <x v="4"/>
    <n v="3"/>
    <n v="442.76"/>
    <n v="5"/>
    <x v="2"/>
    <n v="1261.866"/>
  </r>
  <r>
    <x v="116"/>
    <s v="ORD10168"/>
    <x v="6"/>
    <x v="1"/>
    <x v="1"/>
    <x v="2"/>
    <n v="2"/>
    <n v="463.04"/>
    <n v="0"/>
    <x v="0"/>
    <n v="926.08"/>
  </r>
  <r>
    <x v="117"/>
    <s v="ORD10169"/>
    <x v="42"/>
    <x v="2"/>
    <x v="1"/>
    <x v="6"/>
    <n v="7"/>
    <n v="141.16"/>
    <n v="15"/>
    <x v="1"/>
    <n v="839.90199999999993"/>
  </r>
  <r>
    <x v="118"/>
    <s v="ORD10170"/>
    <x v="49"/>
    <x v="0"/>
    <x v="2"/>
    <x v="5"/>
    <n v="3"/>
    <n v="450.9"/>
    <n v="5"/>
    <x v="1"/>
    <n v="1285.0649999999998"/>
  </r>
  <r>
    <x v="5"/>
    <s v="ORD10171"/>
    <x v="21"/>
    <x v="3"/>
    <x v="2"/>
    <x v="11"/>
    <n v="6"/>
    <n v="190.9"/>
    <n v="15"/>
    <x v="0"/>
    <n v="973.59"/>
  </r>
  <r>
    <x v="73"/>
    <s v="ORD10172"/>
    <x v="69"/>
    <x v="0"/>
    <x v="0"/>
    <x v="9"/>
    <n v="9"/>
    <n v="439.19"/>
    <n v="10"/>
    <x v="0"/>
    <n v="3557.4390000000003"/>
  </r>
  <r>
    <x v="119"/>
    <s v="ORD10173"/>
    <x v="28"/>
    <x v="3"/>
    <x v="0"/>
    <x v="9"/>
    <n v="10"/>
    <n v="464.33"/>
    <n v="15"/>
    <x v="5"/>
    <n v="3946.8049999999998"/>
  </r>
  <r>
    <x v="74"/>
    <s v="ORD10174"/>
    <x v="60"/>
    <x v="3"/>
    <x v="1"/>
    <x v="2"/>
    <n v="3"/>
    <n v="212.96"/>
    <n v="10"/>
    <x v="4"/>
    <n v="574.99199999999996"/>
  </r>
  <r>
    <x v="120"/>
    <s v="ORD10175"/>
    <x v="68"/>
    <x v="1"/>
    <x v="3"/>
    <x v="10"/>
    <n v="6"/>
    <n v="881.39"/>
    <n v="10"/>
    <x v="1"/>
    <n v="4759.5060000000003"/>
  </r>
  <r>
    <x v="17"/>
    <s v="ORD10176"/>
    <x v="51"/>
    <x v="3"/>
    <x v="0"/>
    <x v="0"/>
    <n v="10"/>
    <n v="180.27"/>
    <n v="0"/>
    <x v="1"/>
    <n v="1802.7"/>
  </r>
  <r>
    <x v="121"/>
    <s v="ORD10177"/>
    <x v="70"/>
    <x v="0"/>
    <x v="0"/>
    <x v="0"/>
    <n v="9"/>
    <n v="153.49"/>
    <n v="10"/>
    <x v="4"/>
    <n v="1243.269"/>
  </r>
  <r>
    <x v="122"/>
    <s v="ORD10178"/>
    <x v="1"/>
    <x v="1"/>
    <x v="0"/>
    <x v="1"/>
    <n v="7"/>
    <n v="874.16"/>
    <n v="10"/>
    <x v="3"/>
    <n v="5507.2079999999996"/>
  </r>
  <r>
    <x v="123"/>
    <s v="ORD10179"/>
    <x v="42"/>
    <x v="1"/>
    <x v="0"/>
    <x v="1"/>
    <n v="7"/>
    <n v="812.32"/>
    <n v="5"/>
    <x v="5"/>
    <n v="5401.9280000000008"/>
  </r>
  <r>
    <x v="124"/>
    <s v="ORD10180"/>
    <x v="68"/>
    <x v="2"/>
    <x v="3"/>
    <x v="10"/>
    <n v="4"/>
    <n v="239.95"/>
    <n v="5"/>
    <x v="0"/>
    <n v="911.81"/>
  </r>
  <r>
    <x v="15"/>
    <s v="ORD10181"/>
    <x v="71"/>
    <x v="2"/>
    <x v="2"/>
    <x v="11"/>
    <n v="1"/>
    <n v="594.24"/>
    <n v="0"/>
    <x v="4"/>
    <n v="594.24"/>
  </r>
  <r>
    <x v="33"/>
    <s v="ORD10182"/>
    <x v="26"/>
    <x v="1"/>
    <x v="1"/>
    <x v="6"/>
    <n v="2"/>
    <n v="436.4"/>
    <n v="0"/>
    <x v="5"/>
    <n v="872.8"/>
  </r>
  <r>
    <x v="67"/>
    <s v="ORD10183"/>
    <x v="6"/>
    <x v="0"/>
    <x v="3"/>
    <x v="8"/>
    <n v="3"/>
    <n v="512.62"/>
    <n v="15"/>
    <x v="2"/>
    <n v="1307.181"/>
  </r>
  <r>
    <x v="125"/>
    <s v="ORD10184"/>
    <x v="47"/>
    <x v="0"/>
    <x v="2"/>
    <x v="11"/>
    <n v="7"/>
    <n v="344.21"/>
    <n v="15"/>
    <x v="0"/>
    <n v="2048.0494999999996"/>
  </r>
  <r>
    <x v="126"/>
    <s v="ORD10185"/>
    <x v="21"/>
    <x v="0"/>
    <x v="3"/>
    <x v="10"/>
    <n v="1"/>
    <n v="249.58"/>
    <n v="10"/>
    <x v="2"/>
    <n v="224.62200000000001"/>
  </r>
  <r>
    <x v="90"/>
    <s v="ORD10186"/>
    <x v="72"/>
    <x v="2"/>
    <x v="2"/>
    <x v="11"/>
    <n v="1"/>
    <n v="820.82"/>
    <n v="15"/>
    <x v="4"/>
    <n v="697.697"/>
  </r>
  <r>
    <x v="3"/>
    <s v="ORD10187"/>
    <x v="22"/>
    <x v="0"/>
    <x v="1"/>
    <x v="4"/>
    <n v="4"/>
    <n v="27.11"/>
    <n v="10"/>
    <x v="5"/>
    <n v="97.596000000000004"/>
  </r>
  <r>
    <x v="127"/>
    <s v="ORD10188"/>
    <x v="43"/>
    <x v="2"/>
    <x v="0"/>
    <x v="0"/>
    <n v="10"/>
    <n v="1168.23"/>
    <n v="0"/>
    <x v="0"/>
    <n v="11682.3"/>
  </r>
  <r>
    <x v="80"/>
    <s v="ORD10189"/>
    <x v="56"/>
    <x v="3"/>
    <x v="2"/>
    <x v="5"/>
    <n v="4"/>
    <n v="752.21"/>
    <n v="10"/>
    <x v="4"/>
    <n v="2707.9560000000001"/>
  </r>
  <r>
    <x v="64"/>
    <s v="ORD10190"/>
    <x v="73"/>
    <x v="3"/>
    <x v="1"/>
    <x v="2"/>
    <n v="6"/>
    <n v="363.28"/>
    <n v="0"/>
    <x v="2"/>
    <n v="2179.6799999999998"/>
  </r>
  <r>
    <x v="128"/>
    <s v="ORD10191"/>
    <x v="42"/>
    <x v="0"/>
    <x v="1"/>
    <x v="6"/>
    <n v="1"/>
    <n v="662.95"/>
    <n v="15"/>
    <x v="1"/>
    <n v="563.50750000000005"/>
  </r>
  <r>
    <x v="104"/>
    <s v="ORD10192"/>
    <x v="8"/>
    <x v="3"/>
    <x v="3"/>
    <x v="7"/>
    <n v="2"/>
    <n v="1020.21"/>
    <n v="0"/>
    <x v="4"/>
    <n v="2040.42"/>
  </r>
  <r>
    <x v="129"/>
    <s v="ORD10193"/>
    <x v="17"/>
    <x v="2"/>
    <x v="3"/>
    <x v="8"/>
    <n v="6"/>
    <n v="907.07"/>
    <n v="5"/>
    <x v="0"/>
    <n v="5170.299"/>
  </r>
  <r>
    <x v="66"/>
    <s v="ORD10194"/>
    <x v="8"/>
    <x v="1"/>
    <x v="1"/>
    <x v="4"/>
    <n v="6"/>
    <n v="831.55"/>
    <n v="10"/>
    <x v="4"/>
    <n v="4490.37"/>
  </r>
  <r>
    <x v="130"/>
    <s v="ORD10195"/>
    <x v="0"/>
    <x v="2"/>
    <x v="1"/>
    <x v="2"/>
    <n v="6"/>
    <n v="964.52"/>
    <n v="0"/>
    <x v="5"/>
    <n v="5787.12"/>
  </r>
  <r>
    <x v="90"/>
    <s v="ORD10196"/>
    <x v="31"/>
    <x v="3"/>
    <x v="1"/>
    <x v="6"/>
    <n v="1"/>
    <n v="222.59"/>
    <n v="0"/>
    <x v="3"/>
    <n v="222.59"/>
  </r>
  <r>
    <x v="57"/>
    <s v="ORD10197"/>
    <x v="68"/>
    <x v="2"/>
    <x v="1"/>
    <x v="4"/>
    <n v="5"/>
    <n v="289.16000000000003"/>
    <n v="15"/>
    <x v="3"/>
    <n v="1228.93"/>
  </r>
  <r>
    <x v="12"/>
    <s v="ORD10198"/>
    <x v="9"/>
    <x v="2"/>
    <x v="2"/>
    <x v="11"/>
    <n v="1"/>
    <n v="486.83"/>
    <n v="5"/>
    <x v="0"/>
    <n v="462.48849999999999"/>
  </r>
  <r>
    <x v="67"/>
    <s v="ORD10199"/>
    <x v="26"/>
    <x v="0"/>
    <x v="3"/>
    <x v="10"/>
    <n v="4"/>
    <n v="513.63"/>
    <n v="0"/>
    <x v="2"/>
    <n v="2054.52"/>
  </r>
  <r>
    <x v="131"/>
    <s v="ORD10200"/>
    <x v="7"/>
    <x v="0"/>
    <x v="1"/>
    <x v="2"/>
    <n v="4"/>
    <n v="740.62"/>
    <n v="0"/>
    <x v="2"/>
    <n v="2962.48"/>
  </r>
  <r>
    <x v="7"/>
    <s v="ORD10201"/>
    <x v="17"/>
    <x v="2"/>
    <x v="1"/>
    <x v="6"/>
    <n v="9"/>
    <n v="669.15"/>
    <n v="10"/>
    <x v="4"/>
    <n v="5420.1149999999998"/>
  </r>
  <r>
    <x v="58"/>
    <s v="ORD10202"/>
    <x v="38"/>
    <x v="2"/>
    <x v="0"/>
    <x v="9"/>
    <n v="5"/>
    <n v="808.51"/>
    <n v="15"/>
    <x v="0"/>
    <n v="3436.1675"/>
  </r>
  <r>
    <x v="76"/>
    <s v="ORD10203"/>
    <x v="24"/>
    <x v="3"/>
    <x v="2"/>
    <x v="5"/>
    <n v="2"/>
    <n v="452.17"/>
    <n v="10"/>
    <x v="4"/>
    <n v="813.90600000000006"/>
  </r>
  <r>
    <x v="132"/>
    <s v="ORD10204"/>
    <x v="74"/>
    <x v="0"/>
    <x v="1"/>
    <x v="2"/>
    <n v="4"/>
    <n v="254.43"/>
    <n v="10"/>
    <x v="3"/>
    <n v="915.94800000000009"/>
  </r>
  <r>
    <x v="133"/>
    <s v="ORD10205"/>
    <x v="28"/>
    <x v="2"/>
    <x v="0"/>
    <x v="1"/>
    <n v="10"/>
    <n v="82.28"/>
    <n v="15"/>
    <x v="4"/>
    <n v="699.38"/>
  </r>
  <r>
    <x v="102"/>
    <s v="ORD10206"/>
    <x v="22"/>
    <x v="0"/>
    <x v="0"/>
    <x v="1"/>
    <n v="5"/>
    <n v="589.97"/>
    <n v="15"/>
    <x v="0"/>
    <n v="2507.3725000000004"/>
  </r>
  <r>
    <x v="87"/>
    <s v="ORD10207"/>
    <x v="30"/>
    <x v="3"/>
    <x v="1"/>
    <x v="4"/>
    <n v="9"/>
    <n v="680.34"/>
    <n v="5"/>
    <x v="3"/>
    <n v="5816.9070000000002"/>
  </r>
  <r>
    <x v="2"/>
    <s v="ORD10208"/>
    <x v="2"/>
    <x v="2"/>
    <x v="0"/>
    <x v="1"/>
    <n v="2"/>
    <n v="257.3"/>
    <n v="15"/>
    <x v="4"/>
    <n v="437.41"/>
  </r>
  <r>
    <x v="104"/>
    <s v="ORD10209"/>
    <x v="75"/>
    <x v="3"/>
    <x v="0"/>
    <x v="0"/>
    <n v="4"/>
    <n v="814.94"/>
    <n v="10"/>
    <x v="1"/>
    <n v="2933.7840000000001"/>
  </r>
  <r>
    <x v="76"/>
    <s v="ORD10210"/>
    <x v="76"/>
    <x v="1"/>
    <x v="0"/>
    <x v="0"/>
    <n v="8"/>
    <n v="31.39"/>
    <n v="10"/>
    <x v="1"/>
    <n v="226.00800000000001"/>
  </r>
  <r>
    <x v="134"/>
    <s v="ORD10211"/>
    <x v="22"/>
    <x v="2"/>
    <x v="1"/>
    <x v="2"/>
    <n v="7"/>
    <n v="752.63"/>
    <n v="15"/>
    <x v="2"/>
    <n v="4478.1484999999993"/>
  </r>
  <r>
    <x v="41"/>
    <s v="ORD10212"/>
    <x v="31"/>
    <x v="3"/>
    <x v="1"/>
    <x v="4"/>
    <n v="4"/>
    <n v="639.24"/>
    <n v="10"/>
    <x v="1"/>
    <n v="2301.2640000000001"/>
  </r>
  <r>
    <x v="24"/>
    <s v="ORD10213"/>
    <x v="61"/>
    <x v="2"/>
    <x v="0"/>
    <x v="0"/>
    <n v="10"/>
    <n v="464.6"/>
    <n v="5"/>
    <x v="3"/>
    <n v="4413.7"/>
  </r>
  <r>
    <x v="6"/>
    <s v="ORD10214"/>
    <x v="5"/>
    <x v="1"/>
    <x v="0"/>
    <x v="1"/>
    <n v="8"/>
    <n v="56.18"/>
    <n v="10"/>
    <x v="4"/>
    <n v="404.49599999999998"/>
  </r>
  <r>
    <x v="135"/>
    <s v="ORD10215"/>
    <x v="49"/>
    <x v="2"/>
    <x v="1"/>
    <x v="2"/>
    <n v="2"/>
    <n v="743.72"/>
    <n v="0"/>
    <x v="1"/>
    <n v="1487.44"/>
  </r>
  <r>
    <x v="136"/>
    <s v="ORD10216"/>
    <x v="52"/>
    <x v="2"/>
    <x v="1"/>
    <x v="6"/>
    <n v="9"/>
    <n v="141.15"/>
    <n v="5"/>
    <x v="0"/>
    <n v="1206.8325"/>
  </r>
  <r>
    <x v="96"/>
    <s v="ORD10217"/>
    <x v="44"/>
    <x v="1"/>
    <x v="0"/>
    <x v="0"/>
    <n v="2"/>
    <n v="13.79"/>
    <n v="15"/>
    <x v="0"/>
    <n v="23.442999999999998"/>
  </r>
  <r>
    <x v="84"/>
    <s v="ORD10218"/>
    <x v="15"/>
    <x v="2"/>
    <x v="3"/>
    <x v="7"/>
    <n v="1"/>
    <n v="821.28"/>
    <n v="10"/>
    <x v="4"/>
    <n v="739.15200000000004"/>
  </r>
  <r>
    <x v="100"/>
    <s v="ORD10219"/>
    <x v="52"/>
    <x v="0"/>
    <x v="2"/>
    <x v="3"/>
    <n v="8"/>
    <n v="907.26"/>
    <n v="5"/>
    <x v="3"/>
    <n v="6895.1759999999995"/>
  </r>
  <r>
    <x v="134"/>
    <s v="ORD10220"/>
    <x v="19"/>
    <x v="1"/>
    <x v="0"/>
    <x v="0"/>
    <n v="8"/>
    <n v="1013.73"/>
    <n v="15"/>
    <x v="0"/>
    <n v="6893.3639999999996"/>
  </r>
  <r>
    <x v="137"/>
    <s v="ORD10221"/>
    <x v="60"/>
    <x v="3"/>
    <x v="1"/>
    <x v="4"/>
    <n v="7"/>
    <n v="1161.8"/>
    <n v="5"/>
    <x v="5"/>
    <n v="7725.9699999999993"/>
  </r>
  <r>
    <x v="138"/>
    <s v="ORD10222"/>
    <x v="42"/>
    <x v="2"/>
    <x v="2"/>
    <x v="5"/>
    <n v="3"/>
    <n v="357.46"/>
    <n v="5"/>
    <x v="2"/>
    <n v="1018.7609999999999"/>
  </r>
  <r>
    <x v="101"/>
    <s v="ORD10223"/>
    <x v="77"/>
    <x v="1"/>
    <x v="0"/>
    <x v="0"/>
    <n v="7"/>
    <n v="523.88"/>
    <n v="15"/>
    <x v="0"/>
    <n v="3117.0859999999998"/>
  </r>
  <r>
    <x v="139"/>
    <s v="ORD10224"/>
    <x v="55"/>
    <x v="3"/>
    <x v="0"/>
    <x v="1"/>
    <n v="7"/>
    <n v="491.11"/>
    <n v="0"/>
    <x v="4"/>
    <n v="3437.77"/>
  </r>
  <r>
    <x v="40"/>
    <s v="ORD10225"/>
    <x v="16"/>
    <x v="3"/>
    <x v="0"/>
    <x v="9"/>
    <n v="1"/>
    <n v="775.78"/>
    <n v="5"/>
    <x v="5"/>
    <n v="736.99099999999999"/>
  </r>
  <r>
    <x v="7"/>
    <s v="ORD10226"/>
    <x v="19"/>
    <x v="3"/>
    <x v="1"/>
    <x v="4"/>
    <n v="5"/>
    <n v="324"/>
    <n v="15"/>
    <x v="5"/>
    <n v="1377"/>
  </r>
  <r>
    <x v="95"/>
    <s v="ORD10227"/>
    <x v="32"/>
    <x v="3"/>
    <x v="0"/>
    <x v="1"/>
    <n v="9"/>
    <n v="811.44"/>
    <n v="15"/>
    <x v="2"/>
    <n v="6207.5160000000005"/>
  </r>
  <r>
    <x v="140"/>
    <s v="ORD10228"/>
    <x v="35"/>
    <x v="0"/>
    <x v="3"/>
    <x v="8"/>
    <n v="9"/>
    <n v="1014.2"/>
    <n v="10"/>
    <x v="5"/>
    <n v="8215.02"/>
  </r>
  <r>
    <x v="97"/>
    <s v="ORD10229"/>
    <x v="26"/>
    <x v="1"/>
    <x v="3"/>
    <x v="12"/>
    <n v="5"/>
    <n v="947.47"/>
    <n v="15"/>
    <x v="2"/>
    <n v="4026.7475000000004"/>
  </r>
  <r>
    <x v="125"/>
    <s v="ORD10230"/>
    <x v="3"/>
    <x v="0"/>
    <x v="2"/>
    <x v="11"/>
    <n v="9"/>
    <n v="149.75"/>
    <n v="15"/>
    <x v="3"/>
    <n v="1145.5874999999999"/>
  </r>
  <r>
    <x v="141"/>
    <s v="ORD10231"/>
    <x v="27"/>
    <x v="0"/>
    <x v="0"/>
    <x v="0"/>
    <n v="1"/>
    <n v="1023.52"/>
    <n v="5"/>
    <x v="2"/>
    <n v="972.34399999999994"/>
  </r>
  <r>
    <x v="124"/>
    <s v="ORD10232"/>
    <x v="47"/>
    <x v="2"/>
    <x v="0"/>
    <x v="1"/>
    <n v="9"/>
    <n v="826.29"/>
    <n v="10"/>
    <x v="1"/>
    <n v="6692.9489999999996"/>
  </r>
  <r>
    <x v="114"/>
    <s v="ORD10233"/>
    <x v="15"/>
    <x v="1"/>
    <x v="0"/>
    <x v="0"/>
    <n v="3"/>
    <n v="342.31"/>
    <n v="5"/>
    <x v="2"/>
    <n v="975.58349999999996"/>
  </r>
  <r>
    <x v="142"/>
    <s v="ORD10234"/>
    <x v="7"/>
    <x v="0"/>
    <x v="2"/>
    <x v="5"/>
    <n v="5"/>
    <n v="484.27"/>
    <n v="0"/>
    <x v="1"/>
    <n v="2421.35"/>
  </r>
  <r>
    <x v="72"/>
    <s v="ORD10235"/>
    <x v="72"/>
    <x v="1"/>
    <x v="2"/>
    <x v="3"/>
    <n v="7"/>
    <n v="1177.26"/>
    <n v="15"/>
    <x v="5"/>
    <n v="7004.6969999999992"/>
  </r>
  <r>
    <x v="6"/>
    <s v="ORD10236"/>
    <x v="50"/>
    <x v="1"/>
    <x v="0"/>
    <x v="0"/>
    <n v="2"/>
    <n v="492.76"/>
    <n v="5"/>
    <x v="2"/>
    <n v="936.24399999999991"/>
  </r>
  <r>
    <x v="77"/>
    <s v="ORD10237"/>
    <x v="5"/>
    <x v="3"/>
    <x v="1"/>
    <x v="2"/>
    <n v="6"/>
    <n v="451.74"/>
    <n v="15"/>
    <x v="2"/>
    <n v="2303.8739999999998"/>
  </r>
  <r>
    <x v="99"/>
    <s v="ORD10238"/>
    <x v="1"/>
    <x v="1"/>
    <x v="2"/>
    <x v="5"/>
    <n v="10"/>
    <n v="650.41999999999996"/>
    <n v="0"/>
    <x v="1"/>
    <n v="6504.2"/>
  </r>
  <r>
    <x v="119"/>
    <s v="ORD10239"/>
    <x v="64"/>
    <x v="3"/>
    <x v="3"/>
    <x v="8"/>
    <n v="9"/>
    <n v="116.9"/>
    <n v="5"/>
    <x v="2"/>
    <n v="999.49500000000012"/>
  </r>
  <r>
    <x v="32"/>
    <s v="ORD10240"/>
    <x v="8"/>
    <x v="2"/>
    <x v="3"/>
    <x v="10"/>
    <n v="8"/>
    <n v="126.64"/>
    <n v="15"/>
    <x v="2"/>
    <n v="861.15199999999993"/>
  </r>
  <r>
    <x v="70"/>
    <s v="ORD10241"/>
    <x v="28"/>
    <x v="2"/>
    <x v="1"/>
    <x v="4"/>
    <n v="6"/>
    <n v="562.16999999999996"/>
    <n v="0"/>
    <x v="3"/>
    <n v="3373.0199999999995"/>
  </r>
  <r>
    <x v="89"/>
    <s v="ORD10242"/>
    <x v="65"/>
    <x v="2"/>
    <x v="1"/>
    <x v="6"/>
    <n v="6"/>
    <n v="898.24"/>
    <n v="0"/>
    <x v="3"/>
    <n v="5389.4400000000005"/>
  </r>
  <r>
    <x v="28"/>
    <s v="ORD10243"/>
    <x v="59"/>
    <x v="3"/>
    <x v="0"/>
    <x v="9"/>
    <n v="2"/>
    <n v="880.02"/>
    <n v="15"/>
    <x v="2"/>
    <n v="1496.0339999999999"/>
  </r>
  <r>
    <x v="143"/>
    <s v="ORD10244"/>
    <x v="78"/>
    <x v="3"/>
    <x v="3"/>
    <x v="12"/>
    <n v="6"/>
    <n v="1016.26"/>
    <n v="5"/>
    <x v="5"/>
    <n v="5792.6819999999989"/>
  </r>
  <r>
    <x v="81"/>
    <s v="ORD10245"/>
    <x v="57"/>
    <x v="3"/>
    <x v="0"/>
    <x v="1"/>
    <n v="5"/>
    <n v="1168.8599999999999"/>
    <n v="5"/>
    <x v="2"/>
    <n v="5552.0849999999991"/>
  </r>
  <r>
    <x v="144"/>
    <s v="ORD10246"/>
    <x v="43"/>
    <x v="2"/>
    <x v="1"/>
    <x v="2"/>
    <n v="9"/>
    <n v="1124.96"/>
    <n v="0"/>
    <x v="1"/>
    <n v="10124.64"/>
  </r>
  <r>
    <x v="145"/>
    <s v="ORD10247"/>
    <x v="17"/>
    <x v="0"/>
    <x v="3"/>
    <x v="8"/>
    <n v="9"/>
    <n v="522.04"/>
    <n v="10"/>
    <x v="4"/>
    <n v="4228.5239999999994"/>
  </r>
  <r>
    <x v="131"/>
    <s v="ORD10248"/>
    <x v="78"/>
    <x v="1"/>
    <x v="2"/>
    <x v="11"/>
    <n v="7"/>
    <n v="290.63"/>
    <n v="5"/>
    <x v="3"/>
    <n v="1932.6894999999997"/>
  </r>
  <r>
    <x v="3"/>
    <s v="ORD10249"/>
    <x v="19"/>
    <x v="0"/>
    <x v="0"/>
    <x v="1"/>
    <n v="3"/>
    <n v="501.83"/>
    <n v="0"/>
    <x v="2"/>
    <n v="1505.49"/>
  </r>
  <r>
    <x v="118"/>
    <s v="ORD10250"/>
    <x v="21"/>
    <x v="0"/>
    <x v="2"/>
    <x v="11"/>
    <n v="5"/>
    <n v="144.13999999999999"/>
    <n v="5"/>
    <x v="3"/>
    <n v="684.66499999999985"/>
  </r>
  <r>
    <x v="146"/>
    <s v="ORD10251"/>
    <x v="34"/>
    <x v="2"/>
    <x v="1"/>
    <x v="6"/>
    <n v="1"/>
    <n v="365.1"/>
    <n v="15"/>
    <x v="3"/>
    <n v="310.33500000000004"/>
  </r>
  <r>
    <x v="147"/>
    <s v="ORD10252"/>
    <x v="6"/>
    <x v="1"/>
    <x v="1"/>
    <x v="4"/>
    <n v="8"/>
    <n v="954.44"/>
    <n v="10"/>
    <x v="2"/>
    <n v="6871.9680000000008"/>
  </r>
  <r>
    <x v="26"/>
    <s v="ORD10253"/>
    <x v="43"/>
    <x v="3"/>
    <x v="0"/>
    <x v="0"/>
    <n v="7"/>
    <n v="616.80999999999995"/>
    <n v="0"/>
    <x v="2"/>
    <n v="4317.67"/>
  </r>
  <r>
    <x v="148"/>
    <s v="ORD10254"/>
    <x v="66"/>
    <x v="0"/>
    <x v="2"/>
    <x v="5"/>
    <n v="2"/>
    <n v="623.16"/>
    <n v="0"/>
    <x v="3"/>
    <n v="1246.32"/>
  </r>
  <r>
    <x v="149"/>
    <s v="ORD10255"/>
    <x v="3"/>
    <x v="3"/>
    <x v="2"/>
    <x v="5"/>
    <n v="8"/>
    <n v="492.34"/>
    <n v="15"/>
    <x v="2"/>
    <n v="3347.9119999999998"/>
  </r>
  <r>
    <x v="55"/>
    <s v="ORD10256"/>
    <x v="46"/>
    <x v="2"/>
    <x v="2"/>
    <x v="3"/>
    <n v="5"/>
    <n v="154.47999999999999"/>
    <n v="5"/>
    <x v="5"/>
    <n v="733.78"/>
  </r>
  <r>
    <x v="117"/>
    <s v="ORD10257"/>
    <x v="29"/>
    <x v="0"/>
    <x v="0"/>
    <x v="1"/>
    <n v="5"/>
    <n v="1036.03"/>
    <n v="10"/>
    <x v="1"/>
    <n v="4662.1350000000002"/>
  </r>
  <r>
    <x v="74"/>
    <s v="ORD10258"/>
    <x v="22"/>
    <x v="0"/>
    <x v="0"/>
    <x v="1"/>
    <n v="2"/>
    <n v="454.28"/>
    <n v="15"/>
    <x v="3"/>
    <n v="772.27599999999995"/>
  </r>
  <r>
    <x v="139"/>
    <s v="ORD10259"/>
    <x v="72"/>
    <x v="0"/>
    <x v="2"/>
    <x v="3"/>
    <n v="3"/>
    <n v="927.65"/>
    <n v="5"/>
    <x v="3"/>
    <n v="2643.8024999999998"/>
  </r>
  <r>
    <x v="51"/>
    <s v="ORD10260"/>
    <x v="13"/>
    <x v="3"/>
    <x v="0"/>
    <x v="9"/>
    <n v="1"/>
    <n v="639.85"/>
    <n v="0"/>
    <x v="3"/>
    <n v="639.85"/>
  </r>
  <r>
    <x v="27"/>
    <s v="ORD10261"/>
    <x v="72"/>
    <x v="2"/>
    <x v="0"/>
    <x v="0"/>
    <n v="1"/>
    <n v="886.85"/>
    <n v="10"/>
    <x v="2"/>
    <n v="798.16500000000008"/>
  </r>
  <r>
    <x v="150"/>
    <s v="ORD10262"/>
    <x v="42"/>
    <x v="3"/>
    <x v="3"/>
    <x v="10"/>
    <n v="4"/>
    <n v="366.28"/>
    <n v="10"/>
    <x v="0"/>
    <n v="1318.6079999999999"/>
  </r>
  <r>
    <x v="135"/>
    <s v="ORD10263"/>
    <x v="72"/>
    <x v="2"/>
    <x v="1"/>
    <x v="6"/>
    <n v="1"/>
    <n v="94.27"/>
    <n v="5"/>
    <x v="3"/>
    <n v="89.556499999999986"/>
  </r>
  <r>
    <x v="151"/>
    <s v="ORD10264"/>
    <x v="46"/>
    <x v="2"/>
    <x v="1"/>
    <x v="4"/>
    <n v="7"/>
    <n v="859.86"/>
    <n v="15"/>
    <x v="2"/>
    <n v="5116.1670000000004"/>
  </r>
  <r>
    <x v="107"/>
    <s v="ORD10265"/>
    <x v="25"/>
    <x v="1"/>
    <x v="3"/>
    <x v="7"/>
    <n v="10"/>
    <n v="301.04000000000002"/>
    <n v="10"/>
    <x v="4"/>
    <n v="2709.36"/>
  </r>
  <r>
    <x v="42"/>
    <s v="ORD10266"/>
    <x v="26"/>
    <x v="3"/>
    <x v="2"/>
    <x v="3"/>
    <n v="5"/>
    <n v="808.84"/>
    <n v="15"/>
    <x v="2"/>
    <n v="3437.57"/>
  </r>
  <r>
    <x v="111"/>
    <s v="ORD10267"/>
    <x v="9"/>
    <x v="0"/>
    <x v="1"/>
    <x v="2"/>
    <n v="1"/>
    <n v="498.47"/>
    <n v="5"/>
    <x v="4"/>
    <n v="473.54649999999998"/>
  </r>
  <r>
    <x v="97"/>
    <s v="ORD10268"/>
    <x v="1"/>
    <x v="2"/>
    <x v="0"/>
    <x v="9"/>
    <n v="6"/>
    <n v="931.82"/>
    <n v="5"/>
    <x v="0"/>
    <n v="5311.3739999999998"/>
  </r>
  <r>
    <x v="135"/>
    <s v="ORD10269"/>
    <x v="21"/>
    <x v="2"/>
    <x v="3"/>
    <x v="12"/>
    <n v="3"/>
    <n v="438.17"/>
    <n v="0"/>
    <x v="0"/>
    <n v="1314.51"/>
  </r>
  <r>
    <x v="73"/>
    <s v="ORD10270"/>
    <x v="59"/>
    <x v="2"/>
    <x v="2"/>
    <x v="5"/>
    <n v="9"/>
    <n v="161.24"/>
    <n v="10"/>
    <x v="4"/>
    <n v="1306.0440000000001"/>
  </r>
  <r>
    <x v="11"/>
    <s v="ORD10271"/>
    <x v="50"/>
    <x v="2"/>
    <x v="1"/>
    <x v="6"/>
    <n v="7"/>
    <n v="84.12"/>
    <n v="0"/>
    <x v="4"/>
    <n v="588.84"/>
  </r>
  <r>
    <x v="105"/>
    <s v="ORD10272"/>
    <x v="59"/>
    <x v="0"/>
    <x v="0"/>
    <x v="0"/>
    <n v="10"/>
    <n v="201.65"/>
    <n v="0"/>
    <x v="5"/>
    <n v="2016.5"/>
  </r>
  <r>
    <x v="152"/>
    <s v="ORD10273"/>
    <x v="36"/>
    <x v="3"/>
    <x v="2"/>
    <x v="3"/>
    <n v="5"/>
    <n v="291.52999999999997"/>
    <n v="15"/>
    <x v="2"/>
    <n v="1239.0024999999998"/>
  </r>
  <r>
    <x v="67"/>
    <s v="ORD10274"/>
    <x v="47"/>
    <x v="3"/>
    <x v="0"/>
    <x v="0"/>
    <n v="1"/>
    <n v="816.42"/>
    <n v="5"/>
    <x v="2"/>
    <n v="775.59899999999993"/>
  </r>
  <r>
    <x v="98"/>
    <s v="ORD10275"/>
    <x v="21"/>
    <x v="0"/>
    <x v="1"/>
    <x v="4"/>
    <n v="3"/>
    <n v="288.08999999999997"/>
    <n v="0"/>
    <x v="0"/>
    <n v="864.27"/>
  </r>
  <r>
    <x v="72"/>
    <s v="ORD10276"/>
    <x v="2"/>
    <x v="0"/>
    <x v="0"/>
    <x v="0"/>
    <n v="7"/>
    <n v="369.72"/>
    <n v="5"/>
    <x v="0"/>
    <n v="2458.6379999999999"/>
  </r>
  <r>
    <x v="153"/>
    <s v="ORD10277"/>
    <x v="24"/>
    <x v="1"/>
    <x v="2"/>
    <x v="3"/>
    <n v="2"/>
    <n v="1006.04"/>
    <n v="10"/>
    <x v="2"/>
    <n v="1810.8720000000001"/>
  </r>
  <r>
    <x v="154"/>
    <s v="ORD10278"/>
    <x v="78"/>
    <x v="2"/>
    <x v="1"/>
    <x v="6"/>
    <n v="7"/>
    <n v="626.6"/>
    <n v="0"/>
    <x v="0"/>
    <n v="4386.2"/>
  </r>
  <r>
    <x v="155"/>
    <s v="ORD10279"/>
    <x v="2"/>
    <x v="2"/>
    <x v="1"/>
    <x v="4"/>
    <n v="5"/>
    <n v="12.82"/>
    <n v="0"/>
    <x v="1"/>
    <n v="64.099999999999994"/>
  </r>
  <r>
    <x v="62"/>
    <s v="ORD10280"/>
    <x v="69"/>
    <x v="2"/>
    <x v="1"/>
    <x v="2"/>
    <n v="4"/>
    <n v="535.25"/>
    <n v="10"/>
    <x v="2"/>
    <n v="1926.9"/>
  </r>
  <r>
    <x v="156"/>
    <s v="ORD10281"/>
    <x v="49"/>
    <x v="2"/>
    <x v="2"/>
    <x v="3"/>
    <n v="5"/>
    <n v="868.81"/>
    <n v="0"/>
    <x v="4"/>
    <n v="4344.0499999999993"/>
  </r>
  <r>
    <x v="157"/>
    <s v="ORD10282"/>
    <x v="40"/>
    <x v="3"/>
    <x v="3"/>
    <x v="10"/>
    <n v="3"/>
    <n v="342.28"/>
    <n v="0"/>
    <x v="5"/>
    <n v="1026.8399999999999"/>
  </r>
  <r>
    <x v="106"/>
    <s v="ORD10283"/>
    <x v="41"/>
    <x v="2"/>
    <x v="2"/>
    <x v="3"/>
    <n v="8"/>
    <n v="1126.96"/>
    <n v="10"/>
    <x v="5"/>
    <n v="8114.1120000000001"/>
  </r>
  <r>
    <x v="100"/>
    <s v="ORD10284"/>
    <x v="38"/>
    <x v="1"/>
    <x v="2"/>
    <x v="11"/>
    <n v="2"/>
    <n v="1014.36"/>
    <n v="0"/>
    <x v="5"/>
    <n v="2028.72"/>
  </r>
  <r>
    <x v="1"/>
    <s v="ORD10285"/>
    <x v="12"/>
    <x v="2"/>
    <x v="0"/>
    <x v="9"/>
    <n v="8"/>
    <n v="148.46"/>
    <n v="15"/>
    <x v="0"/>
    <n v="1009.528"/>
  </r>
  <r>
    <x v="124"/>
    <s v="ORD10286"/>
    <x v="70"/>
    <x v="2"/>
    <x v="3"/>
    <x v="8"/>
    <n v="1"/>
    <n v="500.98"/>
    <n v="15"/>
    <x v="4"/>
    <n v="425.83300000000003"/>
  </r>
  <r>
    <x v="92"/>
    <s v="ORD10287"/>
    <x v="72"/>
    <x v="0"/>
    <x v="2"/>
    <x v="3"/>
    <n v="4"/>
    <n v="1057.52"/>
    <n v="5"/>
    <x v="1"/>
    <n v="4018.5759999999996"/>
  </r>
  <r>
    <x v="19"/>
    <s v="ORD10288"/>
    <x v="65"/>
    <x v="3"/>
    <x v="1"/>
    <x v="4"/>
    <n v="2"/>
    <n v="889.37"/>
    <n v="0"/>
    <x v="2"/>
    <n v="1778.74"/>
  </r>
  <r>
    <x v="9"/>
    <s v="ORD10289"/>
    <x v="44"/>
    <x v="1"/>
    <x v="3"/>
    <x v="10"/>
    <n v="4"/>
    <n v="984.2"/>
    <n v="0"/>
    <x v="3"/>
    <n v="3936.8"/>
  </r>
  <r>
    <x v="66"/>
    <s v="ORD10290"/>
    <x v="16"/>
    <x v="3"/>
    <x v="0"/>
    <x v="9"/>
    <n v="4"/>
    <n v="462.54"/>
    <n v="0"/>
    <x v="4"/>
    <n v="1850.16"/>
  </r>
  <r>
    <x v="83"/>
    <s v="ORD10291"/>
    <x v="62"/>
    <x v="0"/>
    <x v="1"/>
    <x v="4"/>
    <n v="3"/>
    <n v="1080.1500000000001"/>
    <n v="0"/>
    <x v="4"/>
    <n v="3240.4500000000003"/>
  </r>
  <r>
    <x v="158"/>
    <s v="ORD10292"/>
    <x v="48"/>
    <x v="0"/>
    <x v="0"/>
    <x v="9"/>
    <n v="2"/>
    <n v="237.73"/>
    <n v="5"/>
    <x v="5"/>
    <n v="451.68699999999995"/>
  </r>
  <r>
    <x v="6"/>
    <s v="ORD10293"/>
    <x v="58"/>
    <x v="3"/>
    <x v="2"/>
    <x v="11"/>
    <n v="3"/>
    <n v="1199.42"/>
    <n v="10"/>
    <x v="1"/>
    <n v="3238.4340000000002"/>
  </r>
  <r>
    <x v="5"/>
    <s v="ORD10294"/>
    <x v="28"/>
    <x v="1"/>
    <x v="3"/>
    <x v="12"/>
    <n v="6"/>
    <n v="681.46"/>
    <n v="0"/>
    <x v="0"/>
    <n v="4088.76"/>
  </r>
  <r>
    <x v="18"/>
    <s v="ORD10295"/>
    <x v="61"/>
    <x v="0"/>
    <x v="3"/>
    <x v="12"/>
    <n v="6"/>
    <n v="614.08000000000004"/>
    <n v="15"/>
    <x v="4"/>
    <n v="3131.8080000000004"/>
  </r>
  <r>
    <x v="64"/>
    <s v="ORD10296"/>
    <x v="73"/>
    <x v="3"/>
    <x v="3"/>
    <x v="7"/>
    <n v="1"/>
    <n v="797.54"/>
    <n v="15"/>
    <x v="2"/>
    <n v="677.90899999999999"/>
  </r>
  <r>
    <x v="10"/>
    <s v="ORD10297"/>
    <x v="79"/>
    <x v="2"/>
    <x v="1"/>
    <x v="4"/>
    <n v="9"/>
    <n v="457.15"/>
    <n v="0"/>
    <x v="3"/>
    <n v="4114.3499999999995"/>
  </r>
  <r>
    <x v="77"/>
    <s v="ORD10298"/>
    <x v="31"/>
    <x v="1"/>
    <x v="2"/>
    <x v="3"/>
    <n v="3"/>
    <n v="321.02"/>
    <n v="15"/>
    <x v="5"/>
    <n v="818.60099999999989"/>
  </r>
  <r>
    <x v="96"/>
    <s v="ORD10299"/>
    <x v="3"/>
    <x v="0"/>
    <x v="0"/>
    <x v="1"/>
    <n v="6"/>
    <n v="435.39"/>
    <n v="5"/>
    <x v="2"/>
    <n v="2481.723"/>
  </r>
  <r>
    <x v="159"/>
    <s v="ORD10300"/>
    <x v="13"/>
    <x v="0"/>
    <x v="1"/>
    <x v="4"/>
    <n v="6"/>
    <n v="409.85"/>
    <n v="0"/>
    <x v="3"/>
    <n v="2459.1000000000004"/>
  </r>
  <r>
    <x v="110"/>
    <s v="ORD10301"/>
    <x v="77"/>
    <x v="0"/>
    <x v="2"/>
    <x v="5"/>
    <n v="8"/>
    <n v="1177.18"/>
    <n v="0"/>
    <x v="0"/>
    <n v="9417.44"/>
  </r>
  <r>
    <x v="3"/>
    <s v="ORD10302"/>
    <x v="78"/>
    <x v="2"/>
    <x v="3"/>
    <x v="10"/>
    <n v="2"/>
    <n v="685.19"/>
    <n v="0"/>
    <x v="2"/>
    <n v="1370.38"/>
  </r>
  <r>
    <x v="53"/>
    <s v="ORD10303"/>
    <x v="69"/>
    <x v="0"/>
    <x v="3"/>
    <x v="7"/>
    <n v="10"/>
    <n v="345.55"/>
    <n v="10"/>
    <x v="0"/>
    <n v="3109.9500000000003"/>
  </r>
  <r>
    <x v="79"/>
    <s v="ORD10304"/>
    <x v="46"/>
    <x v="2"/>
    <x v="0"/>
    <x v="0"/>
    <n v="9"/>
    <n v="654.29"/>
    <n v="5"/>
    <x v="1"/>
    <n v="5594.1794999999993"/>
  </r>
  <r>
    <x v="38"/>
    <s v="ORD10305"/>
    <x v="35"/>
    <x v="1"/>
    <x v="3"/>
    <x v="10"/>
    <n v="2"/>
    <n v="569.27"/>
    <n v="15"/>
    <x v="2"/>
    <n v="967.7589999999999"/>
  </r>
  <r>
    <x v="160"/>
    <s v="ORD10306"/>
    <x v="12"/>
    <x v="3"/>
    <x v="2"/>
    <x v="5"/>
    <n v="4"/>
    <n v="741.89"/>
    <n v="5"/>
    <x v="5"/>
    <n v="2819.1819999999998"/>
  </r>
  <r>
    <x v="161"/>
    <s v="ORD10307"/>
    <x v="23"/>
    <x v="2"/>
    <x v="1"/>
    <x v="2"/>
    <n v="10"/>
    <n v="136.41999999999999"/>
    <n v="10"/>
    <x v="0"/>
    <n v="1227.78"/>
  </r>
  <r>
    <x v="22"/>
    <s v="ORD10308"/>
    <x v="77"/>
    <x v="0"/>
    <x v="0"/>
    <x v="0"/>
    <n v="7"/>
    <n v="1156.69"/>
    <n v="0"/>
    <x v="0"/>
    <n v="8096.83"/>
  </r>
  <r>
    <x v="37"/>
    <s v="ORD10309"/>
    <x v="25"/>
    <x v="3"/>
    <x v="0"/>
    <x v="1"/>
    <n v="3"/>
    <n v="650.9"/>
    <n v="10"/>
    <x v="1"/>
    <n v="1757.4299999999998"/>
  </r>
  <r>
    <x v="22"/>
    <s v="ORD10310"/>
    <x v="48"/>
    <x v="2"/>
    <x v="2"/>
    <x v="11"/>
    <n v="5"/>
    <n v="449.86"/>
    <n v="0"/>
    <x v="2"/>
    <n v="2249.3000000000002"/>
  </r>
  <r>
    <x v="89"/>
    <s v="ORD10311"/>
    <x v="55"/>
    <x v="1"/>
    <x v="0"/>
    <x v="0"/>
    <n v="10"/>
    <n v="419.22"/>
    <n v="0"/>
    <x v="0"/>
    <n v="4192.2000000000007"/>
  </r>
  <r>
    <x v="160"/>
    <s v="ORD10312"/>
    <x v="9"/>
    <x v="0"/>
    <x v="2"/>
    <x v="5"/>
    <n v="3"/>
    <n v="575.66999999999996"/>
    <n v="5"/>
    <x v="0"/>
    <n v="1640.6594999999998"/>
  </r>
  <r>
    <x v="159"/>
    <s v="ORD10313"/>
    <x v="18"/>
    <x v="3"/>
    <x v="1"/>
    <x v="2"/>
    <n v="3"/>
    <n v="882.39"/>
    <n v="10"/>
    <x v="2"/>
    <n v="2382.453"/>
  </r>
  <r>
    <x v="114"/>
    <s v="ORD10314"/>
    <x v="47"/>
    <x v="0"/>
    <x v="3"/>
    <x v="10"/>
    <n v="4"/>
    <n v="308.89"/>
    <n v="5"/>
    <x v="2"/>
    <n v="1173.7819999999999"/>
  </r>
  <r>
    <x v="95"/>
    <s v="ORD10315"/>
    <x v="59"/>
    <x v="2"/>
    <x v="2"/>
    <x v="11"/>
    <n v="3"/>
    <n v="936.51"/>
    <n v="5"/>
    <x v="5"/>
    <n v="2669.0534999999995"/>
  </r>
  <r>
    <x v="162"/>
    <s v="ORD10316"/>
    <x v="11"/>
    <x v="0"/>
    <x v="1"/>
    <x v="6"/>
    <n v="7"/>
    <n v="86.83"/>
    <n v="15"/>
    <x v="1"/>
    <n v="516.63849999999991"/>
  </r>
  <r>
    <x v="37"/>
    <s v="ORD10317"/>
    <x v="72"/>
    <x v="2"/>
    <x v="2"/>
    <x v="3"/>
    <n v="9"/>
    <n v="547.99"/>
    <n v="10"/>
    <x v="2"/>
    <n v="4438.7190000000001"/>
  </r>
  <r>
    <x v="21"/>
    <s v="ORD10318"/>
    <x v="70"/>
    <x v="1"/>
    <x v="2"/>
    <x v="5"/>
    <n v="8"/>
    <n v="1079.3599999999999"/>
    <n v="5"/>
    <x v="4"/>
    <n v="8203.1359999999986"/>
  </r>
  <r>
    <x v="163"/>
    <s v="ORD10319"/>
    <x v="1"/>
    <x v="1"/>
    <x v="3"/>
    <x v="8"/>
    <n v="8"/>
    <n v="152.5"/>
    <n v="0"/>
    <x v="0"/>
    <n v="1220"/>
  </r>
  <r>
    <x v="66"/>
    <s v="ORD10320"/>
    <x v="35"/>
    <x v="2"/>
    <x v="3"/>
    <x v="7"/>
    <n v="2"/>
    <n v="36.79"/>
    <n v="10"/>
    <x v="0"/>
    <n v="66.221999999999994"/>
  </r>
  <r>
    <x v="158"/>
    <s v="ORD10321"/>
    <x v="72"/>
    <x v="2"/>
    <x v="2"/>
    <x v="11"/>
    <n v="4"/>
    <n v="114.72"/>
    <n v="15"/>
    <x v="4"/>
    <n v="390.048"/>
  </r>
  <r>
    <x v="73"/>
    <s v="ORD10322"/>
    <x v="33"/>
    <x v="2"/>
    <x v="2"/>
    <x v="3"/>
    <n v="3"/>
    <n v="610.01"/>
    <n v="5"/>
    <x v="5"/>
    <n v="1738.5284999999999"/>
  </r>
  <r>
    <x v="55"/>
    <s v="ORD10323"/>
    <x v="52"/>
    <x v="3"/>
    <x v="3"/>
    <x v="8"/>
    <n v="5"/>
    <n v="381.65"/>
    <n v="15"/>
    <x v="0"/>
    <n v="1622.0125"/>
  </r>
  <r>
    <x v="164"/>
    <s v="ORD10324"/>
    <x v="15"/>
    <x v="0"/>
    <x v="1"/>
    <x v="6"/>
    <n v="9"/>
    <n v="961.56"/>
    <n v="15"/>
    <x v="1"/>
    <n v="7355.9339999999993"/>
  </r>
  <r>
    <x v="100"/>
    <s v="ORD10325"/>
    <x v="55"/>
    <x v="2"/>
    <x v="2"/>
    <x v="11"/>
    <n v="6"/>
    <n v="406.69"/>
    <n v="10"/>
    <x v="1"/>
    <n v="2196.1259999999997"/>
  </r>
  <r>
    <x v="165"/>
    <s v="ORD10326"/>
    <x v="72"/>
    <x v="0"/>
    <x v="2"/>
    <x v="5"/>
    <n v="8"/>
    <n v="623.41"/>
    <n v="0"/>
    <x v="5"/>
    <n v="4987.28"/>
  </r>
  <r>
    <x v="29"/>
    <s v="ORD10327"/>
    <x v="56"/>
    <x v="0"/>
    <x v="0"/>
    <x v="9"/>
    <n v="8"/>
    <n v="170.87"/>
    <n v="5"/>
    <x v="4"/>
    <n v="1298.6120000000001"/>
  </r>
  <r>
    <x v="125"/>
    <s v="ORD10328"/>
    <x v="41"/>
    <x v="0"/>
    <x v="3"/>
    <x v="7"/>
    <n v="6"/>
    <n v="315.61"/>
    <n v="15"/>
    <x v="3"/>
    <n v="1609.6110000000001"/>
  </r>
  <r>
    <x v="11"/>
    <s v="ORD10329"/>
    <x v="49"/>
    <x v="1"/>
    <x v="1"/>
    <x v="4"/>
    <n v="1"/>
    <n v="698.53"/>
    <n v="5"/>
    <x v="5"/>
    <n v="663.60349999999994"/>
  </r>
  <r>
    <x v="111"/>
    <s v="ORD10330"/>
    <x v="78"/>
    <x v="2"/>
    <x v="1"/>
    <x v="6"/>
    <n v="8"/>
    <n v="144.56"/>
    <n v="0"/>
    <x v="1"/>
    <n v="1156.48"/>
  </r>
  <r>
    <x v="56"/>
    <s v="ORD10331"/>
    <x v="10"/>
    <x v="2"/>
    <x v="1"/>
    <x v="2"/>
    <n v="4"/>
    <n v="709.88"/>
    <n v="5"/>
    <x v="0"/>
    <n v="2697.5439999999999"/>
  </r>
  <r>
    <x v="11"/>
    <s v="ORD10332"/>
    <x v="47"/>
    <x v="0"/>
    <x v="1"/>
    <x v="4"/>
    <n v="9"/>
    <n v="437.08"/>
    <n v="10"/>
    <x v="2"/>
    <n v="3540.348"/>
  </r>
  <r>
    <x v="151"/>
    <s v="ORD10333"/>
    <x v="52"/>
    <x v="3"/>
    <x v="1"/>
    <x v="2"/>
    <n v="6"/>
    <n v="600.52"/>
    <n v="15"/>
    <x v="4"/>
    <n v="3062.652"/>
  </r>
  <r>
    <x v="15"/>
    <s v="ORD10334"/>
    <x v="72"/>
    <x v="0"/>
    <x v="1"/>
    <x v="4"/>
    <n v="5"/>
    <n v="451.93"/>
    <n v="0"/>
    <x v="0"/>
    <n v="2259.65"/>
  </r>
  <r>
    <x v="147"/>
    <s v="ORD10335"/>
    <x v="65"/>
    <x v="1"/>
    <x v="2"/>
    <x v="3"/>
    <n v="9"/>
    <n v="293.7"/>
    <n v="10"/>
    <x v="2"/>
    <n v="2378.9699999999998"/>
  </r>
  <r>
    <x v="9"/>
    <s v="ORD10336"/>
    <x v="77"/>
    <x v="0"/>
    <x v="1"/>
    <x v="4"/>
    <n v="6"/>
    <n v="762.96"/>
    <n v="0"/>
    <x v="1"/>
    <n v="4577.76"/>
  </r>
  <r>
    <x v="140"/>
    <s v="ORD10337"/>
    <x v="20"/>
    <x v="3"/>
    <x v="2"/>
    <x v="5"/>
    <n v="8"/>
    <n v="62.56"/>
    <n v="10"/>
    <x v="0"/>
    <n v="450.43200000000002"/>
  </r>
  <r>
    <x v="156"/>
    <s v="ORD10338"/>
    <x v="78"/>
    <x v="3"/>
    <x v="1"/>
    <x v="4"/>
    <n v="9"/>
    <n v="620.05999999999995"/>
    <n v="15"/>
    <x v="1"/>
    <n v="4743.4589999999989"/>
  </r>
  <r>
    <x v="110"/>
    <s v="ORD10339"/>
    <x v="10"/>
    <x v="1"/>
    <x v="1"/>
    <x v="2"/>
    <n v="9"/>
    <n v="669.36"/>
    <n v="0"/>
    <x v="1"/>
    <n v="6024.24"/>
  </r>
  <r>
    <x v="166"/>
    <s v="ORD10340"/>
    <x v="60"/>
    <x v="0"/>
    <x v="0"/>
    <x v="1"/>
    <n v="7"/>
    <n v="1136.8900000000001"/>
    <n v="5"/>
    <x v="0"/>
    <n v="7560.3185000000003"/>
  </r>
  <r>
    <x v="25"/>
    <s v="ORD10341"/>
    <x v="44"/>
    <x v="1"/>
    <x v="0"/>
    <x v="0"/>
    <n v="4"/>
    <n v="497.48"/>
    <n v="10"/>
    <x v="0"/>
    <n v="1790.9280000000001"/>
  </r>
  <r>
    <x v="11"/>
    <s v="ORD10342"/>
    <x v="13"/>
    <x v="2"/>
    <x v="0"/>
    <x v="9"/>
    <n v="4"/>
    <n v="971.78"/>
    <n v="5"/>
    <x v="1"/>
    <n v="3692.7639999999997"/>
  </r>
  <r>
    <x v="84"/>
    <s v="ORD10343"/>
    <x v="53"/>
    <x v="0"/>
    <x v="2"/>
    <x v="11"/>
    <n v="2"/>
    <n v="95.82"/>
    <n v="10"/>
    <x v="0"/>
    <n v="172.476"/>
  </r>
  <r>
    <x v="38"/>
    <s v="ORD10344"/>
    <x v="57"/>
    <x v="1"/>
    <x v="0"/>
    <x v="0"/>
    <n v="8"/>
    <n v="955.17"/>
    <n v="5"/>
    <x v="1"/>
    <n v="7259.2919999999995"/>
  </r>
  <r>
    <x v="7"/>
    <s v="ORD10345"/>
    <x v="5"/>
    <x v="3"/>
    <x v="3"/>
    <x v="7"/>
    <n v="2"/>
    <n v="180.58"/>
    <n v="15"/>
    <x v="1"/>
    <n v="306.98599999999999"/>
  </r>
  <r>
    <x v="166"/>
    <s v="ORD10346"/>
    <x v="51"/>
    <x v="0"/>
    <x v="2"/>
    <x v="5"/>
    <n v="10"/>
    <n v="222.66"/>
    <n v="15"/>
    <x v="0"/>
    <n v="1892.61"/>
  </r>
  <r>
    <x v="51"/>
    <s v="ORD10347"/>
    <x v="54"/>
    <x v="0"/>
    <x v="0"/>
    <x v="0"/>
    <n v="8"/>
    <n v="74.27"/>
    <n v="10"/>
    <x v="0"/>
    <n v="534.74400000000003"/>
  </r>
  <r>
    <x v="167"/>
    <s v="ORD10348"/>
    <x v="68"/>
    <x v="2"/>
    <x v="1"/>
    <x v="6"/>
    <n v="10"/>
    <n v="503.99"/>
    <n v="5"/>
    <x v="4"/>
    <n v="4787.9049999999997"/>
  </r>
  <r>
    <x v="51"/>
    <s v="ORD10349"/>
    <x v="59"/>
    <x v="2"/>
    <x v="1"/>
    <x v="4"/>
    <n v="10"/>
    <n v="684.93"/>
    <n v="0"/>
    <x v="4"/>
    <n v="6849.2999999999993"/>
  </r>
  <r>
    <x v="168"/>
    <s v="ORD10350"/>
    <x v="45"/>
    <x v="0"/>
    <x v="0"/>
    <x v="9"/>
    <n v="2"/>
    <n v="912.6"/>
    <n v="10"/>
    <x v="4"/>
    <n v="1642.68"/>
  </r>
  <r>
    <x v="122"/>
    <s v="ORD10351"/>
    <x v="58"/>
    <x v="3"/>
    <x v="3"/>
    <x v="7"/>
    <n v="5"/>
    <n v="1010.71"/>
    <n v="5"/>
    <x v="4"/>
    <n v="4800.8725000000004"/>
  </r>
  <r>
    <x v="76"/>
    <s v="ORD10352"/>
    <x v="11"/>
    <x v="0"/>
    <x v="3"/>
    <x v="10"/>
    <n v="8"/>
    <n v="983.86"/>
    <n v="10"/>
    <x v="1"/>
    <n v="7083.7920000000004"/>
  </r>
  <r>
    <x v="18"/>
    <s v="ORD10353"/>
    <x v="13"/>
    <x v="0"/>
    <x v="2"/>
    <x v="3"/>
    <n v="6"/>
    <n v="1125.9100000000001"/>
    <n v="10"/>
    <x v="1"/>
    <n v="6079.9140000000007"/>
  </r>
  <r>
    <x v="46"/>
    <s v="ORD10354"/>
    <x v="38"/>
    <x v="2"/>
    <x v="3"/>
    <x v="10"/>
    <n v="1"/>
    <n v="179.27"/>
    <n v="5"/>
    <x v="2"/>
    <n v="170.3065"/>
  </r>
  <r>
    <x v="139"/>
    <s v="ORD10355"/>
    <x v="65"/>
    <x v="2"/>
    <x v="1"/>
    <x v="4"/>
    <n v="9"/>
    <n v="22.63"/>
    <n v="15"/>
    <x v="1"/>
    <n v="173.11949999999999"/>
  </r>
  <r>
    <x v="81"/>
    <s v="ORD10356"/>
    <x v="53"/>
    <x v="1"/>
    <x v="2"/>
    <x v="11"/>
    <n v="6"/>
    <n v="725.45"/>
    <n v="0"/>
    <x v="0"/>
    <n v="4352.7000000000007"/>
  </r>
  <r>
    <x v="46"/>
    <s v="ORD10357"/>
    <x v="42"/>
    <x v="0"/>
    <x v="3"/>
    <x v="10"/>
    <n v="9"/>
    <n v="1178.1099999999999"/>
    <n v="10"/>
    <x v="5"/>
    <n v="9542.6910000000007"/>
  </r>
  <r>
    <x v="17"/>
    <s v="ORD10358"/>
    <x v="48"/>
    <x v="1"/>
    <x v="2"/>
    <x v="5"/>
    <n v="6"/>
    <n v="1050.49"/>
    <n v="10"/>
    <x v="0"/>
    <n v="5672.6460000000006"/>
  </r>
  <r>
    <x v="169"/>
    <s v="ORD10359"/>
    <x v="12"/>
    <x v="1"/>
    <x v="2"/>
    <x v="11"/>
    <n v="7"/>
    <n v="403.57"/>
    <n v="15"/>
    <x v="2"/>
    <n v="2401.2414999999996"/>
  </r>
  <r>
    <x v="165"/>
    <s v="ORD10360"/>
    <x v="48"/>
    <x v="2"/>
    <x v="3"/>
    <x v="8"/>
    <n v="7"/>
    <n v="497.87"/>
    <n v="15"/>
    <x v="3"/>
    <n v="2962.3265000000001"/>
  </r>
  <r>
    <x v="57"/>
    <s v="ORD10361"/>
    <x v="18"/>
    <x v="3"/>
    <x v="3"/>
    <x v="7"/>
    <n v="9"/>
    <n v="738.27"/>
    <n v="0"/>
    <x v="1"/>
    <n v="6644.43"/>
  </r>
  <r>
    <x v="169"/>
    <s v="ORD10362"/>
    <x v="75"/>
    <x v="0"/>
    <x v="1"/>
    <x v="2"/>
    <n v="10"/>
    <n v="624.80999999999995"/>
    <n v="15"/>
    <x v="5"/>
    <n v="5310.8849999999993"/>
  </r>
  <r>
    <x v="144"/>
    <s v="ORD10363"/>
    <x v="61"/>
    <x v="2"/>
    <x v="2"/>
    <x v="5"/>
    <n v="9"/>
    <n v="972.39"/>
    <n v="0"/>
    <x v="5"/>
    <n v="8751.51"/>
  </r>
  <r>
    <x v="170"/>
    <s v="ORD10364"/>
    <x v="1"/>
    <x v="0"/>
    <x v="3"/>
    <x v="8"/>
    <n v="4"/>
    <n v="807.95"/>
    <n v="10"/>
    <x v="1"/>
    <n v="2908.6200000000003"/>
  </r>
  <r>
    <x v="111"/>
    <s v="ORD10365"/>
    <x v="64"/>
    <x v="0"/>
    <x v="0"/>
    <x v="9"/>
    <n v="10"/>
    <n v="360"/>
    <n v="15"/>
    <x v="2"/>
    <n v="3060"/>
  </r>
  <r>
    <x v="171"/>
    <s v="ORD10366"/>
    <x v="37"/>
    <x v="1"/>
    <x v="1"/>
    <x v="6"/>
    <n v="4"/>
    <n v="714.17"/>
    <n v="10"/>
    <x v="0"/>
    <n v="2571.0119999999997"/>
  </r>
  <r>
    <x v="48"/>
    <s v="ORD10367"/>
    <x v="3"/>
    <x v="0"/>
    <x v="0"/>
    <x v="9"/>
    <n v="3"/>
    <n v="1167.06"/>
    <n v="5"/>
    <x v="1"/>
    <n v="3326.1209999999996"/>
  </r>
  <r>
    <x v="123"/>
    <s v="ORD10368"/>
    <x v="72"/>
    <x v="3"/>
    <x v="1"/>
    <x v="6"/>
    <n v="1"/>
    <n v="962.98"/>
    <n v="0"/>
    <x v="4"/>
    <n v="962.98"/>
  </r>
  <r>
    <x v="165"/>
    <s v="ORD10369"/>
    <x v="29"/>
    <x v="0"/>
    <x v="1"/>
    <x v="6"/>
    <n v="5"/>
    <n v="518.75"/>
    <n v="0"/>
    <x v="4"/>
    <n v="2593.75"/>
  </r>
  <r>
    <x v="153"/>
    <s v="ORD10370"/>
    <x v="61"/>
    <x v="3"/>
    <x v="2"/>
    <x v="5"/>
    <n v="2"/>
    <n v="141.15"/>
    <n v="10"/>
    <x v="5"/>
    <n v="254.07000000000002"/>
  </r>
  <r>
    <x v="134"/>
    <s v="ORD10371"/>
    <x v="64"/>
    <x v="2"/>
    <x v="0"/>
    <x v="0"/>
    <n v="5"/>
    <n v="897.27"/>
    <n v="5"/>
    <x v="3"/>
    <n v="4262.0325000000003"/>
  </r>
  <r>
    <x v="164"/>
    <s v="ORD10372"/>
    <x v="24"/>
    <x v="0"/>
    <x v="2"/>
    <x v="11"/>
    <n v="6"/>
    <n v="1080.67"/>
    <n v="0"/>
    <x v="4"/>
    <n v="6484.02"/>
  </r>
  <r>
    <x v="152"/>
    <s v="ORD10373"/>
    <x v="38"/>
    <x v="2"/>
    <x v="1"/>
    <x v="6"/>
    <n v="9"/>
    <n v="1135.8800000000001"/>
    <n v="10"/>
    <x v="5"/>
    <n v="9200.6280000000024"/>
  </r>
  <r>
    <x v="51"/>
    <s v="ORD10374"/>
    <x v="56"/>
    <x v="1"/>
    <x v="1"/>
    <x v="2"/>
    <n v="5"/>
    <n v="966.24"/>
    <n v="10"/>
    <x v="4"/>
    <n v="4348.08"/>
  </r>
  <r>
    <x v="124"/>
    <s v="ORD10375"/>
    <x v="64"/>
    <x v="3"/>
    <x v="2"/>
    <x v="3"/>
    <n v="5"/>
    <n v="319.89"/>
    <n v="0"/>
    <x v="3"/>
    <n v="1599.4499999999998"/>
  </r>
  <r>
    <x v="6"/>
    <s v="ORD10376"/>
    <x v="49"/>
    <x v="3"/>
    <x v="0"/>
    <x v="0"/>
    <n v="5"/>
    <n v="659.17"/>
    <n v="15"/>
    <x v="0"/>
    <n v="2801.4724999999999"/>
  </r>
  <r>
    <x v="59"/>
    <s v="ORD10377"/>
    <x v="64"/>
    <x v="3"/>
    <x v="1"/>
    <x v="4"/>
    <n v="10"/>
    <n v="677.21"/>
    <n v="5"/>
    <x v="3"/>
    <n v="6433.4949999999999"/>
  </r>
  <r>
    <x v="97"/>
    <s v="ORD10378"/>
    <x v="36"/>
    <x v="2"/>
    <x v="2"/>
    <x v="3"/>
    <n v="10"/>
    <n v="297.14"/>
    <n v="10"/>
    <x v="5"/>
    <n v="2674.2599999999998"/>
  </r>
  <r>
    <x v="23"/>
    <s v="ORD10379"/>
    <x v="66"/>
    <x v="3"/>
    <x v="0"/>
    <x v="9"/>
    <n v="10"/>
    <n v="1182.8800000000001"/>
    <n v="10"/>
    <x v="2"/>
    <n v="10645.920000000002"/>
  </r>
  <r>
    <x v="67"/>
    <s v="ORD10380"/>
    <x v="19"/>
    <x v="3"/>
    <x v="1"/>
    <x v="2"/>
    <n v="8"/>
    <n v="589.69000000000005"/>
    <n v="0"/>
    <x v="2"/>
    <n v="4717.5200000000004"/>
  </r>
  <r>
    <x v="10"/>
    <s v="ORD10381"/>
    <x v="14"/>
    <x v="3"/>
    <x v="1"/>
    <x v="2"/>
    <n v="10"/>
    <n v="788.8"/>
    <n v="0"/>
    <x v="0"/>
    <n v="7888"/>
  </r>
  <r>
    <x v="100"/>
    <s v="ORD10382"/>
    <x v="62"/>
    <x v="2"/>
    <x v="2"/>
    <x v="3"/>
    <n v="3"/>
    <n v="824.77"/>
    <n v="5"/>
    <x v="2"/>
    <n v="2350.5944999999997"/>
  </r>
  <r>
    <x v="172"/>
    <s v="ORD10383"/>
    <x v="69"/>
    <x v="3"/>
    <x v="0"/>
    <x v="9"/>
    <n v="3"/>
    <n v="760.3"/>
    <n v="5"/>
    <x v="1"/>
    <n v="2166.8549999999996"/>
  </r>
  <r>
    <x v="13"/>
    <s v="ORD10384"/>
    <x v="23"/>
    <x v="1"/>
    <x v="2"/>
    <x v="11"/>
    <n v="10"/>
    <n v="370.49"/>
    <n v="5"/>
    <x v="5"/>
    <n v="3519.6549999999997"/>
  </r>
  <r>
    <x v="143"/>
    <s v="ORD10385"/>
    <x v="40"/>
    <x v="3"/>
    <x v="3"/>
    <x v="10"/>
    <n v="5"/>
    <n v="1070.32"/>
    <n v="15"/>
    <x v="0"/>
    <n v="4548.8599999999997"/>
  </r>
  <r>
    <x v="2"/>
    <s v="ORD10386"/>
    <x v="65"/>
    <x v="2"/>
    <x v="0"/>
    <x v="0"/>
    <n v="5"/>
    <n v="589.71"/>
    <n v="0"/>
    <x v="5"/>
    <n v="2948.55"/>
  </r>
  <r>
    <x v="23"/>
    <s v="ORD10387"/>
    <x v="4"/>
    <x v="1"/>
    <x v="0"/>
    <x v="9"/>
    <n v="10"/>
    <n v="750.34"/>
    <n v="5"/>
    <x v="1"/>
    <n v="7128.2300000000005"/>
  </r>
  <r>
    <x v="72"/>
    <s v="ORD10388"/>
    <x v="18"/>
    <x v="0"/>
    <x v="1"/>
    <x v="4"/>
    <n v="8"/>
    <n v="107.48"/>
    <n v="10"/>
    <x v="1"/>
    <n v="773.85599999999999"/>
  </r>
  <r>
    <x v="21"/>
    <s v="ORD10389"/>
    <x v="73"/>
    <x v="1"/>
    <x v="0"/>
    <x v="0"/>
    <n v="3"/>
    <n v="785.23"/>
    <n v="10"/>
    <x v="3"/>
    <n v="2120.1210000000001"/>
  </r>
  <r>
    <x v="95"/>
    <s v="ORD10390"/>
    <x v="25"/>
    <x v="0"/>
    <x v="3"/>
    <x v="7"/>
    <n v="7"/>
    <n v="461.66"/>
    <n v="15"/>
    <x v="4"/>
    <n v="2746.8770000000004"/>
  </r>
  <r>
    <x v="173"/>
    <s v="ORD10391"/>
    <x v="9"/>
    <x v="0"/>
    <x v="2"/>
    <x v="5"/>
    <n v="6"/>
    <n v="410.02"/>
    <n v="0"/>
    <x v="1"/>
    <n v="2460.12"/>
  </r>
  <r>
    <x v="174"/>
    <s v="ORD10392"/>
    <x v="22"/>
    <x v="3"/>
    <x v="3"/>
    <x v="7"/>
    <n v="1"/>
    <n v="973.85"/>
    <n v="0"/>
    <x v="3"/>
    <n v="973.85"/>
  </r>
  <r>
    <x v="110"/>
    <s v="ORD10393"/>
    <x v="50"/>
    <x v="2"/>
    <x v="2"/>
    <x v="5"/>
    <n v="1"/>
    <n v="96.7"/>
    <n v="0"/>
    <x v="4"/>
    <n v="96.7"/>
  </r>
  <r>
    <x v="122"/>
    <s v="ORD10394"/>
    <x v="72"/>
    <x v="1"/>
    <x v="1"/>
    <x v="2"/>
    <n v="4"/>
    <n v="187.37"/>
    <n v="0"/>
    <x v="4"/>
    <n v="749.48"/>
  </r>
  <r>
    <x v="20"/>
    <s v="ORD10395"/>
    <x v="8"/>
    <x v="1"/>
    <x v="1"/>
    <x v="4"/>
    <n v="9"/>
    <n v="974.58"/>
    <n v="15"/>
    <x v="4"/>
    <n v="7455.5370000000012"/>
  </r>
  <r>
    <x v="105"/>
    <s v="ORD10396"/>
    <x v="55"/>
    <x v="3"/>
    <x v="3"/>
    <x v="8"/>
    <n v="4"/>
    <n v="406.06"/>
    <n v="0"/>
    <x v="0"/>
    <n v="1624.24"/>
  </r>
  <r>
    <x v="21"/>
    <s v="ORD10397"/>
    <x v="4"/>
    <x v="2"/>
    <x v="2"/>
    <x v="11"/>
    <n v="4"/>
    <n v="446.82"/>
    <n v="5"/>
    <x v="4"/>
    <n v="1697.9159999999999"/>
  </r>
  <r>
    <x v="70"/>
    <s v="ORD10398"/>
    <x v="47"/>
    <x v="2"/>
    <x v="1"/>
    <x v="6"/>
    <n v="2"/>
    <n v="163.71"/>
    <n v="10"/>
    <x v="0"/>
    <n v="294.678"/>
  </r>
  <r>
    <x v="93"/>
    <s v="ORD10399"/>
    <x v="25"/>
    <x v="2"/>
    <x v="2"/>
    <x v="11"/>
    <n v="3"/>
    <n v="821.3"/>
    <n v="5"/>
    <x v="2"/>
    <n v="2340.7049999999995"/>
  </r>
  <r>
    <x v="24"/>
    <s v="ORD10400"/>
    <x v="50"/>
    <x v="3"/>
    <x v="3"/>
    <x v="7"/>
    <n v="1"/>
    <n v="782.47"/>
    <n v="15"/>
    <x v="4"/>
    <n v="665.09950000000003"/>
  </r>
  <r>
    <x v="170"/>
    <s v="ORD10401"/>
    <x v="32"/>
    <x v="3"/>
    <x v="0"/>
    <x v="9"/>
    <n v="5"/>
    <n v="697.16"/>
    <n v="5"/>
    <x v="5"/>
    <n v="3311.5099999999998"/>
  </r>
  <r>
    <x v="175"/>
    <s v="ORD10402"/>
    <x v="56"/>
    <x v="3"/>
    <x v="1"/>
    <x v="2"/>
    <n v="5"/>
    <n v="1110.71"/>
    <n v="10"/>
    <x v="5"/>
    <n v="4998.1950000000006"/>
  </r>
  <r>
    <x v="159"/>
    <s v="ORD10403"/>
    <x v="6"/>
    <x v="2"/>
    <x v="3"/>
    <x v="12"/>
    <n v="10"/>
    <n v="1079.32"/>
    <n v="0"/>
    <x v="4"/>
    <n v="10793.199999999999"/>
  </r>
  <r>
    <x v="117"/>
    <s v="ORD10404"/>
    <x v="73"/>
    <x v="2"/>
    <x v="0"/>
    <x v="9"/>
    <n v="5"/>
    <n v="774.79"/>
    <n v="0"/>
    <x v="0"/>
    <n v="3873.95"/>
  </r>
  <r>
    <x v="158"/>
    <s v="ORD10405"/>
    <x v="55"/>
    <x v="0"/>
    <x v="1"/>
    <x v="6"/>
    <n v="5"/>
    <n v="176.53"/>
    <n v="5"/>
    <x v="1"/>
    <n v="838.51749999999993"/>
  </r>
  <r>
    <x v="10"/>
    <s v="ORD10406"/>
    <x v="4"/>
    <x v="3"/>
    <x v="3"/>
    <x v="10"/>
    <n v="6"/>
    <n v="714.04"/>
    <n v="0"/>
    <x v="3"/>
    <n v="4284.24"/>
  </r>
  <r>
    <x v="95"/>
    <s v="ORD10407"/>
    <x v="46"/>
    <x v="0"/>
    <x v="2"/>
    <x v="3"/>
    <n v="2"/>
    <n v="410.39"/>
    <n v="0"/>
    <x v="5"/>
    <n v="820.78"/>
  </r>
  <r>
    <x v="150"/>
    <s v="ORD10408"/>
    <x v="47"/>
    <x v="0"/>
    <x v="2"/>
    <x v="5"/>
    <n v="10"/>
    <n v="376.78"/>
    <n v="5"/>
    <x v="5"/>
    <n v="3579.4099999999994"/>
  </r>
  <r>
    <x v="48"/>
    <s v="ORD10409"/>
    <x v="2"/>
    <x v="0"/>
    <x v="0"/>
    <x v="9"/>
    <n v="6"/>
    <n v="661.51"/>
    <n v="10"/>
    <x v="0"/>
    <n v="3572.154"/>
  </r>
  <r>
    <x v="76"/>
    <s v="ORD10410"/>
    <x v="68"/>
    <x v="1"/>
    <x v="2"/>
    <x v="11"/>
    <n v="5"/>
    <n v="592.24"/>
    <n v="5"/>
    <x v="0"/>
    <n v="2813.14"/>
  </r>
  <r>
    <x v="112"/>
    <s v="ORD10411"/>
    <x v="48"/>
    <x v="0"/>
    <x v="3"/>
    <x v="10"/>
    <n v="2"/>
    <n v="940.25"/>
    <n v="0"/>
    <x v="4"/>
    <n v="1880.5"/>
  </r>
  <r>
    <x v="72"/>
    <s v="ORD10412"/>
    <x v="69"/>
    <x v="1"/>
    <x v="2"/>
    <x v="5"/>
    <n v="1"/>
    <n v="29.62"/>
    <n v="5"/>
    <x v="2"/>
    <n v="28.138999999999999"/>
  </r>
  <r>
    <x v="27"/>
    <s v="ORD10413"/>
    <x v="78"/>
    <x v="0"/>
    <x v="2"/>
    <x v="3"/>
    <n v="10"/>
    <n v="852.41"/>
    <n v="15"/>
    <x v="2"/>
    <n v="7245.4849999999997"/>
  </r>
  <r>
    <x v="112"/>
    <s v="ORD10414"/>
    <x v="27"/>
    <x v="0"/>
    <x v="3"/>
    <x v="8"/>
    <n v="8"/>
    <n v="1123"/>
    <n v="5"/>
    <x v="0"/>
    <n v="8534.7999999999993"/>
  </r>
  <r>
    <x v="32"/>
    <s v="ORD10415"/>
    <x v="28"/>
    <x v="0"/>
    <x v="2"/>
    <x v="11"/>
    <n v="7"/>
    <n v="468.77"/>
    <n v="10"/>
    <x v="2"/>
    <n v="2953.2509999999997"/>
  </r>
  <r>
    <x v="83"/>
    <s v="ORD10416"/>
    <x v="33"/>
    <x v="0"/>
    <x v="3"/>
    <x v="12"/>
    <n v="5"/>
    <n v="689.76"/>
    <n v="10"/>
    <x v="4"/>
    <n v="3103.92"/>
  </r>
  <r>
    <x v="151"/>
    <s v="ORD10417"/>
    <x v="19"/>
    <x v="3"/>
    <x v="3"/>
    <x v="12"/>
    <n v="10"/>
    <n v="251.25"/>
    <n v="10"/>
    <x v="3"/>
    <n v="2261.25"/>
  </r>
  <r>
    <x v="163"/>
    <s v="ORD10418"/>
    <x v="57"/>
    <x v="0"/>
    <x v="0"/>
    <x v="9"/>
    <n v="10"/>
    <n v="500.96"/>
    <n v="5"/>
    <x v="0"/>
    <n v="4759.119999999999"/>
  </r>
  <r>
    <x v="165"/>
    <s v="ORD10419"/>
    <x v="15"/>
    <x v="0"/>
    <x v="0"/>
    <x v="1"/>
    <n v="3"/>
    <n v="574.25"/>
    <n v="15"/>
    <x v="1"/>
    <n v="1464.3374999999999"/>
  </r>
  <r>
    <x v="36"/>
    <s v="ORD10420"/>
    <x v="28"/>
    <x v="3"/>
    <x v="3"/>
    <x v="8"/>
    <n v="3"/>
    <n v="109.83"/>
    <n v="10"/>
    <x v="3"/>
    <n v="296.541"/>
  </r>
  <r>
    <x v="144"/>
    <s v="ORD10421"/>
    <x v="60"/>
    <x v="2"/>
    <x v="3"/>
    <x v="8"/>
    <n v="10"/>
    <n v="616.21"/>
    <n v="10"/>
    <x v="5"/>
    <n v="5545.89"/>
  </r>
  <r>
    <x v="58"/>
    <s v="ORD10422"/>
    <x v="31"/>
    <x v="3"/>
    <x v="1"/>
    <x v="4"/>
    <n v="4"/>
    <n v="898"/>
    <n v="0"/>
    <x v="2"/>
    <n v="3592"/>
  </r>
  <r>
    <x v="102"/>
    <s v="ORD10423"/>
    <x v="46"/>
    <x v="1"/>
    <x v="0"/>
    <x v="0"/>
    <n v="4"/>
    <n v="70.5"/>
    <n v="10"/>
    <x v="0"/>
    <n v="253.8"/>
  </r>
  <r>
    <x v="30"/>
    <s v="ORD10424"/>
    <x v="33"/>
    <x v="1"/>
    <x v="0"/>
    <x v="9"/>
    <n v="6"/>
    <n v="77.760000000000005"/>
    <n v="15"/>
    <x v="1"/>
    <n v="396.57600000000002"/>
  </r>
  <r>
    <x v="109"/>
    <s v="ORD10425"/>
    <x v="76"/>
    <x v="0"/>
    <x v="3"/>
    <x v="10"/>
    <n v="1"/>
    <n v="439.88"/>
    <n v="5"/>
    <x v="5"/>
    <n v="417.88599999999997"/>
  </r>
  <r>
    <x v="4"/>
    <s v="ORD10426"/>
    <x v="11"/>
    <x v="0"/>
    <x v="0"/>
    <x v="0"/>
    <n v="7"/>
    <n v="979.79"/>
    <n v="10"/>
    <x v="2"/>
    <n v="6172.6769999999997"/>
  </r>
  <r>
    <x v="54"/>
    <s v="ORD10427"/>
    <x v="45"/>
    <x v="1"/>
    <x v="0"/>
    <x v="1"/>
    <n v="7"/>
    <n v="376.46"/>
    <n v="5"/>
    <x v="4"/>
    <n v="2503.4589999999998"/>
  </r>
  <r>
    <x v="44"/>
    <s v="ORD10428"/>
    <x v="13"/>
    <x v="1"/>
    <x v="1"/>
    <x v="6"/>
    <n v="7"/>
    <n v="964.78"/>
    <n v="0"/>
    <x v="1"/>
    <n v="6753.46"/>
  </r>
  <r>
    <x v="157"/>
    <s v="ORD10429"/>
    <x v="0"/>
    <x v="2"/>
    <x v="0"/>
    <x v="1"/>
    <n v="6"/>
    <n v="271.23"/>
    <n v="0"/>
    <x v="2"/>
    <n v="1627.38"/>
  </r>
  <r>
    <x v="176"/>
    <s v="ORD10430"/>
    <x v="78"/>
    <x v="2"/>
    <x v="3"/>
    <x v="10"/>
    <n v="3"/>
    <n v="1192.1099999999999"/>
    <n v="15"/>
    <x v="1"/>
    <n v="3039.8804999999998"/>
  </r>
  <r>
    <x v="62"/>
    <s v="ORD10431"/>
    <x v="22"/>
    <x v="2"/>
    <x v="0"/>
    <x v="1"/>
    <n v="2"/>
    <n v="689.54"/>
    <n v="5"/>
    <x v="0"/>
    <n v="1310.126"/>
  </r>
  <r>
    <x v="73"/>
    <s v="ORD10432"/>
    <x v="22"/>
    <x v="2"/>
    <x v="1"/>
    <x v="2"/>
    <n v="4"/>
    <n v="1082.9000000000001"/>
    <n v="15"/>
    <x v="1"/>
    <n v="3681.86"/>
  </r>
  <r>
    <x v="21"/>
    <s v="ORD10433"/>
    <x v="36"/>
    <x v="1"/>
    <x v="0"/>
    <x v="9"/>
    <n v="2"/>
    <n v="1073.17"/>
    <n v="5"/>
    <x v="1"/>
    <n v="2039.0230000000001"/>
  </r>
  <r>
    <x v="67"/>
    <s v="ORD10434"/>
    <x v="53"/>
    <x v="1"/>
    <x v="1"/>
    <x v="4"/>
    <n v="5"/>
    <n v="554.66999999999996"/>
    <n v="15"/>
    <x v="2"/>
    <n v="2357.3474999999999"/>
  </r>
  <r>
    <x v="131"/>
    <s v="ORD10435"/>
    <x v="71"/>
    <x v="0"/>
    <x v="3"/>
    <x v="7"/>
    <n v="10"/>
    <n v="620.16999999999996"/>
    <n v="15"/>
    <x v="0"/>
    <n v="5271.4449999999997"/>
  </r>
  <r>
    <x v="33"/>
    <s v="ORD10436"/>
    <x v="21"/>
    <x v="1"/>
    <x v="3"/>
    <x v="10"/>
    <n v="5"/>
    <n v="992.8"/>
    <n v="15"/>
    <x v="4"/>
    <n v="4219.3999999999996"/>
  </r>
  <r>
    <x v="177"/>
    <s v="ORD10437"/>
    <x v="60"/>
    <x v="2"/>
    <x v="2"/>
    <x v="11"/>
    <n v="1"/>
    <n v="390.6"/>
    <n v="0"/>
    <x v="1"/>
    <n v="390.6"/>
  </r>
  <r>
    <x v="32"/>
    <s v="ORD10438"/>
    <x v="57"/>
    <x v="2"/>
    <x v="1"/>
    <x v="6"/>
    <n v="10"/>
    <n v="335.25"/>
    <n v="0"/>
    <x v="1"/>
    <n v="3352.5"/>
  </r>
  <r>
    <x v="56"/>
    <s v="ORD10439"/>
    <x v="63"/>
    <x v="1"/>
    <x v="0"/>
    <x v="0"/>
    <n v="10"/>
    <n v="942.75"/>
    <n v="15"/>
    <x v="3"/>
    <n v="8013.375"/>
  </r>
  <r>
    <x v="38"/>
    <s v="ORD10440"/>
    <x v="18"/>
    <x v="1"/>
    <x v="3"/>
    <x v="8"/>
    <n v="10"/>
    <n v="389.47"/>
    <n v="0"/>
    <x v="1"/>
    <n v="3894.7000000000003"/>
  </r>
  <r>
    <x v="66"/>
    <s v="ORD10441"/>
    <x v="24"/>
    <x v="0"/>
    <x v="2"/>
    <x v="5"/>
    <n v="6"/>
    <n v="237.61"/>
    <n v="0"/>
    <x v="4"/>
    <n v="1425.66"/>
  </r>
  <r>
    <x v="105"/>
    <s v="ORD10442"/>
    <x v="38"/>
    <x v="0"/>
    <x v="0"/>
    <x v="1"/>
    <n v="6"/>
    <n v="524.63"/>
    <n v="10"/>
    <x v="5"/>
    <n v="2833.002"/>
  </r>
  <r>
    <x v="16"/>
    <s v="ORD10443"/>
    <x v="74"/>
    <x v="0"/>
    <x v="2"/>
    <x v="11"/>
    <n v="3"/>
    <n v="563.5"/>
    <n v="5"/>
    <x v="3"/>
    <n v="1605.9749999999999"/>
  </r>
  <r>
    <x v="63"/>
    <s v="ORD10444"/>
    <x v="69"/>
    <x v="0"/>
    <x v="3"/>
    <x v="12"/>
    <n v="8"/>
    <n v="853.56"/>
    <n v="15"/>
    <x v="1"/>
    <n v="5804.2079999999996"/>
  </r>
  <r>
    <x v="146"/>
    <s v="ORD10445"/>
    <x v="59"/>
    <x v="2"/>
    <x v="2"/>
    <x v="5"/>
    <n v="9"/>
    <n v="890.13"/>
    <n v="10"/>
    <x v="5"/>
    <n v="7210.0529999999999"/>
  </r>
  <r>
    <x v="152"/>
    <s v="ORD10446"/>
    <x v="40"/>
    <x v="2"/>
    <x v="1"/>
    <x v="6"/>
    <n v="1"/>
    <n v="1027.1199999999999"/>
    <n v="0"/>
    <x v="3"/>
    <n v="1027.1199999999999"/>
  </r>
  <r>
    <x v="178"/>
    <s v="ORD10447"/>
    <x v="38"/>
    <x v="0"/>
    <x v="2"/>
    <x v="3"/>
    <n v="8"/>
    <n v="575.24"/>
    <n v="15"/>
    <x v="2"/>
    <n v="3911.6320000000001"/>
  </r>
  <r>
    <x v="160"/>
    <s v="ORD10448"/>
    <x v="77"/>
    <x v="1"/>
    <x v="3"/>
    <x v="7"/>
    <n v="1"/>
    <n v="1002.5"/>
    <n v="10"/>
    <x v="4"/>
    <n v="902.25"/>
  </r>
  <r>
    <x v="160"/>
    <s v="ORD10449"/>
    <x v="61"/>
    <x v="0"/>
    <x v="3"/>
    <x v="8"/>
    <n v="10"/>
    <n v="852.3"/>
    <n v="10"/>
    <x v="4"/>
    <n v="7670.7"/>
  </r>
  <r>
    <x v="118"/>
    <s v="ORD10450"/>
    <x v="25"/>
    <x v="0"/>
    <x v="2"/>
    <x v="5"/>
    <n v="5"/>
    <n v="1171.3800000000001"/>
    <n v="15"/>
    <x v="5"/>
    <n v="4978.3650000000007"/>
  </r>
  <r>
    <x v="179"/>
    <s v="ORD10451"/>
    <x v="8"/>
    <x v="1"/>
    <x v="0"/>
    <x v="1"/>
    <n v="1"/>
    <n v="285.45999999999998"/>
    <n v="15"/>
    <x v="0"/>
    <n v="242.64099999999996"/>
  </r>
  <r>
    <x v="118"/>
    <s v="ORD10452"/>
    <x v="67"/>
    <x v="2"/>
    <x v="3"/>
    <x v="12"/>
    <n v="8"/>
    <n v="706.4"/>
    <n v="15"/>
    <x v="2"/>
    <n v="4803.5199999999995"/>
  </r>
  <r>
    <x v="52"/>
    <s v="ORD10453"/>
    <x v="16"/>
    <x v="0"/>
    <x v="0"/>
    <x v="1"/>
    <n v="7"/>
    <n v="565.63"/>
    <n v="10"/>
    <x v="4"/>
    <n v="3563.4690000000001"/>
  </r>
  <r>
    <x v="127"/>
    <s v="ORD10454"/>
    <x v="9"/>
    <x v="1"/>
    <x v="0"/>
    <x v="9"/>
    <n v="9"/>
    <n v="922.52"/>
    <n v="0"/>
    <x v="3"/>
    <n v="8302.68"/>
  </r>
  <r>
    <x v="89"/>
    <s v="ORD10455"/>
    <x v="71"/>
    <x v="3"/>
    <x v="0"/>
    <x v="1"/>
    <n v="5"/>
    <n v="364.96"/>
    <n v="15"/>
    <x v="3"/>
    <n v="1551.08"/>
  </r>
  <r>
    <x v="145"/>
    <s v="ORD10456"/>
    <x v="75"/>
    <x v="2"/>
    <x v="0"/>
    <x v="1"/>
    <n v="6"/>
    <n v="410.15"/>
    <n v="5"/>
    <x v="2"/>
    <n v="2337.8549999999996"/>
  </r>
  <r>
    <x v="66"/>
    <s v="ORD10457"/>
    <x v="25"/>
    <x v="3"/>
    <x v="0"/>
    <x v="0"/>
    <n v="9"/>
    <n v="750.04"/>
    <n v="10"/>
    <x v="0"/>
    <n v="6075.3239999999996"/>
  </r>
  <r>
    <x v="180"/>
    <s v="ORD10458"/>
    <x v="40"/>
    <x v="1"/>
    <x v="2"/>
    <x v="3"/>
    <n v="5"/>
    <n v="25.14"/>
    <n v="5"/>
    <x v="4"/>
    <n v="119.41499999999999"/>
  </r>
  <r>
    <x v="6"/>
    <s v="ORD10459"/>
    <x v="41"/>
    <x v="3"/>
    <x v="0"/>
    <x v="1"/>
    <n v="9"/>
    <n v="475.96"/>
    <n v="10"/>
    <x v="4"/>
    <n v="3855.2759999999994"/>
  </r>
  <r>
    <x v="136"/>
    <s v="ORD10460"/>
    <x v="72"/>
    <x v="1"/>
    <x v="1"/>
    <x v="2"/>
    <n v="5"/>
    <n v="400.07"/>
    <n v="5"/>
    <x v="4"/>
    <n v="1900.3324999999998"/>
  </r>
  <r>
    <x v="181"/>
    <s v="ORD10461"/>
    <x v="23"/>
    <x v="1"/>
    <x v="1"/>
    <x v="2"/>
    <n v="1"/>
    <n v="547.61"/>
    <n v="5"/>
    <x v="5"/>
    <n v="520.22950000000003"/>
  </r>
  <r>
    <x v="124"/>
    <s v="ORD10462"/>
    <x v="0"/>
    <x v="0"/>
    <x v="1"/>
    <x v="2"/>
    <n v="8"/>
    <n v="765.3"/>
    <n v="15"/>
    <x v="5"/>
    <n v="5204.04"/>
  </r>
  <r>
    <x v="96"/>
    <s v="ORD10463"/>
    <x v="75"/>
    <x v="2"/>
    <x v="0"/>
    <x v="1"/>
    <n v="6"/>
    <n v="894.97"/>
    <n v="10"/>
    <x v="2"/>
    <n v="4832.8379999999997"/>
  </r>
  <r>
    <x v="132"/>
    <s v="ORD10464"/>
    <x v="22"/>
    <x v="0"/>
    <x v="3"/>
    <x v="12"/>
    <n v="8"/>
    <n v="459.34"/>
    <n v="0"/>
    <x v="0"/>
    <n v="3674.72"/>
  </r>
  <r>
    <x v="112"/>
    <s v="ORD10465"/>
    <x v="7"/>
    <x v="2"/>
    <x v="2"/>
    <x v="11"/>
    <n v="10"/>
    <n v="412.46"/>
    <n v="15"/>
    <x v="4"/>
    <n v="3505.9099999999994"/>
  </r>
  <r>
    <x v="81"/>
    <s v="ORD10466"/>
    <x v="65"/>
    <x v="2"/>
    <x v="0"/>
    <x v="1"/>
    <n v="8"/>
    <n v="425.67"/>
    <n v="15"/>
    <x v="4"/>
    <n v="2894.556"/>
  </r>
  <r>
    <x v="57"/>
    <s v="ORD10467"/>
    <x v="78"/>
    <x v="2"/>
    <x v="1"/>
    <x v="4"/>
    <n v="10"/>
    <n v="891.91"/>
    <n v="0"/>
    <x v="0"/>
    <n v="8919.1"/>
  </r>
  <r>
    <x v="109"/>
    <s v="ORD10468"/>
    <x v="54"/>
    <x v="3"/>
    <x v="0"/>
    <x v="9"/>
    <n v="3"/>
    <n v="827.88"/>
    <n v="15"/>
    <x v="1"/>
    <n v="2111.0940000000001"/>
  </r>
  <r>
    <x v="10"/>
    <s v="ORD10469"/>
    <x v="7"/>
    <x v="1"/>
    <x v="2"/>
    <x v="5"/>
    <n v="2"/>
    <n v="186.76"/>
    <n v="10"/>
    <x v="1"/>
    <n v="336.16800000000001"/>
  </r>
  <r>
    <x v="97"/>
    <s v="ORD10470"/>
    <x v="45"/>
    <x v="0"/>
    <x v="1"/>
    <x v="6"/>
    <n v="1"/>
    <n v="245.18"/>
    <n v="0"/>
    <x v="4"/>
    <n v="245.18"/>
  </r>
  <r>
    <x v="101"/>
    <s v="ORD10471"/>
    <x v="49"/>
    <x v="0"/>
    <x v="3"/>
    <x v="12"/>
    <n v="2"/>
    <n v="490.5"/>
    <n v="5"/>
    <x v="1"/>
    <n v="931.94999999999993"/>
  </r>
  <r>
    <x v="182"/>
    <s v="ORD10472"/>
    <x v="24"/>
    <x v="2"/>
    <x v="2"/>
    <x v="11"/>
    <n v="3"/>
    <n v="14.73"/>
    <n v="15"/>
    <x v="3"/>
    <n v="37.561499999999995"/>
  </r>
  <r>
    <x v="70"/>
    <s v="ORD10473"/>
    <x v="59"/>
    <x v="1"/>
    <x v="1"/>
    <x v="2"/>
    <n v="6"/>
    <n v="564.51"/>
    <n v="15"/>
    <x v="1"/>
    <n v="2879.0009999999997"/>
  </r>
  <r>
    <x v="27"/>
    <s v="ORD10474"/>
    <x v="5"/>
    <x v="1"/>
    <x v="3"/>
    <x v="8"/>
    <n v="7"/>
    <n v="909.26"/>
    <n v="0"/>
    <x v="4"/>
    <n v="6364.82"/>
  </r>
  <r>
    <x v="20"/>
    <s v="ORD10475"/>
    <x v="16"/>
    <x v="0"/>
    <x v="3"/>
    <x v="12"/>
    <n v="10"/>
    <n v="803.98"/>
    <n v="10"/>
    <x v="0"/>
    <n v="7235.8200000000006"/>
  </r>
  <r>
    <x v="28"/>
    <s v="ORD10476"/>
    <x v="64"/>
    <x v="3"/>
    <x v="0"/>
    <x v="0"/>
    <n v="9"/>
    <n v="512.65"/>
    <n v="15"/>
    <x v="2"/>
    <n v="3921.7724999999996"/>
  </r>
  <r>
    <x v="80"/>
    <s v="ORD10477"/>
    <x v="12"/>
    <x v="2"/>
    <x v="1"/>
    <x v="6"/>
    <n v="3"/>
    <n v="87.83"/>
    <n v="5"/>
    <x v="1"/>
    <n v="250.31549999999999"/>
  </r>
  <r>
    <x v="183"/>
    <s v="ORD10478"/>
    <x v="63"/>
    <x v="3"/>
    <x v="3"/>
    <x v="8"/>
    <n v="6"/>
    <n v="1095.1300000000001"/>
    <n v="15"/>
    <x v="3"/>
    <n v="5585.1630000000005"/>
  </r>
  <r>
    <x v="3"/>
    <s v="ORD10479"/>
    <x v="45"/>
    <x v="1"/>
    <x v="3"/>
    <x v="10"/>
    <n v="8"/>
    <n v="222.28"/>
    <n v="0"/>
    <x v="5"/>
    <n v="1778.24"/>
  </r>
  <r>
    <x v="19"/>
    <s v="ORD10480"/>
    <x v="30"/>
    <x v="2"/>
    <x v="1"/>
    <x v="6"/>
    <n v="10"/>
    <n v="555.42999999999995"/>
    <n v="0"/>
    <x v="4"/>
    <n v="5554.2999999999993"/>
  </r>
  <r>
    <x v="157"/>
    <s v="ORD10481"/>
    <x v="38"/>
    <x v="1"/>
    <x v="0"/>
    <x v="9"/>
    <n v="7"/>
    <n v="823.97"/>
    <n v="0"/>
    <x v="3"/>
    <n v="5767.79"/>
  </r>
  <r>
    <x v="147"/>
    <s v="ORD10482"/>
    <x v="29"/>
    <x v="3"/>
    <x v="3"/>
    <x v="12"/>
    <n v="1"/>
    <n v="201.67"/>
    <n v="15"/>
    <x v="2"/>
    <n v="171.41949999999997"/>
  </r>
  <r>
    <x v="109"/>
    <s v="ORD10483"/>
    <x v="62"/>
    <x v="2"/>
    <x v="0"/>
    <x v="9"/>
    <n v="5"/>
    <n v="695.73"/>
    <n v="15"/>
    <x v="1"/>
    <n v="2956.8525"/>
  </r>
  <r>
    <x v="117"/>
    <s v="ORD10484"/>
    <x v="62"/>
    <x v="1"/>
    <x v="2"/>
    <x v="5"/>
    <n v="1"/>
    <n v="950.23"/>
    <n v="5"/>
    <x v="1"/>
    <n v="902.71849999999995"/>
  </r>
  <r>
    <x v="28"/>
    <s v="ORD10485"/>
    <x v="54"/>
    <x v="2"/>
    <x v="1"/>
    <x v="2"/>
    <n v="5"/>
    <n v="828.61"/>
    <n v="5"/>
    <x v="4"/>
    <n v="3935.8975"/>
  </r>
  <r>
    <x v="45"/>
    <s v="ORD10486"/>
    <x v="47"/>
    <x v="2"/>
    <x v="0"/>
    <x v="1"/>
    <n v="5"/>
    <n v="787.5"/>
    <n v="0"/>
    <x v="0"/>
    <n v="3937.5"/>
  </r>
  <r>
    <x v="6"/>
    <s v="ORD10487"/>
    <x v="25"/>
    <x v="1"/>
    <x v="0"/>
    <x v="1"/>
    <n v="7"/>
    <n v="761.33"/>
    <n v="15"/>
    <x v="1"/>
    <n v="4529.9135000000006"/>
  </r>
  <r>
    <x v="127"/>
    <s v="ORD10488"/>
    <x v="64"/>
    <x v="3"/>
    <x v="0"/>
    <x v="0"/>
    <n v="2"/>
    <n v="847.55"/>
    <n v="0"/>
    <x v="4"/>
    <n v="1695.1"/>
  </r>
  <r>
    <x v="112"/>
    <s v="ORD10489"/>
    <x v="30"/>
    <x v="2"/>
    <x v="2"/>
    <x v="3"/>
    <n v="7"/>
    <n v="678.62"/>
    <n v="15"/>
    <x v="1"/>
    <n v="4037.7890000000002"/>
  </r>
  <r>
    <x v="93"/>
    <s v="ORD10490"/>
    <x v="12"/>
    <x v="1"/>
    <x v="0"/>
    <x v="0"/>
    <n v="1"/>
    <n v="1120.05"/>
    <n v="0"/>
    <x v="1"/>
    <n v="1120.05"/>
  </r>
  <r>
    <x v="122"/>
    <s v="ORD10491"/>
    <x v="4"/>
    <x v="0"/>
    <x v="3"/>
    <x v="7"/>
    <n v="10"/>
    <n v="386.86"/>
    <n v="10"/>
    <x v="1"/>
    <n v="3481.7400000000002"/>
  </r>
  <r>
    <x v="139"/>
    <s v="ORD10492"/>
    <x v="25"/>
    <x v="2"/>
    <x v="0"/>
    <x v="1"/>
    <n v="9"/>
    <n v="1023.26"/>
    <n v="10"/>
    <x v="2"/>
    <n v="8288.4060000000009"/>
  </r>
  <r>
    <x v="23"/>
    <s v="ORD10493"/>
    <x v="16"/>
    <x v="1"/>
    <x v="2"/>
    <x v="3"/>
    <n v="7"/>
    <n v="974.32"/>
    <n v="5"/>
    <x v="1"/>
    <n v="6479.2280000000001"/>
  </r>
  <r>
    <x v="10"/>
    <s v="ORD10494"/>
    <x v="53"/>
    <x v="0"/>
    <x v="3"/>
    <x v="12"/>
    <n v="1"/>
    <n v="1092.69"/>
    <n v="0"/>
    <x v="1"/>
    <n v="1092.69"/>
  </r>
  <r>
    <x v="16"/>
    <s v="ORD10495"/>
    <x v="63"/>
    <x v="2"/>
    <x v="3"/>
    <x v="12"/>
    <n v="9"/>
    <n v="84.55"/>
    <n v="15"/>
    <x v="0"/>
    <n v="646.80749999999989"/>
  </r>
  <r>
    <x v="125"/>
    <s v="ORD10496"/>
    <x v="23"/>
    <x v="1"/>
    <x v="1"/>
    <x v="4"/>
    <n v="9"/>
    <n v="770.37"/>
    <n v="10"/>
    <x v="1"/>
    <n v="6239.9970000000003"/>
  </r>
  <r>
    <x v="31"/>
    <s v="ORD10497"/>
    <x v="27"/>
    <x v="1"/>
    <x v="0"/>
    <x v="9"/>
    <n v="4"/>
    <n v="1037.73"/>
    <n v="5"/>
    <x v="3"/>
    <n v="3943.3739999999998"/>
  </r>
  <r>
    <x v="17"/>
    <s v="ORD10498"/>
    <x v="53"/>
    <x v="3"/>
    <x v="1"/>
    <x v="6"/>
    <n v="5"/>
    <n v="1150.5899999999999"/>
    <n v="5"/>
    <x v="2"/>
    <n v="5465.3024999999998"/>
  </r>
  <r>
    <x v="34"/>
    <s v="ORD10499"/>
    <x v="23"/>
    <x v="1"/>
    <x v="2"/>
    <x v="3"/>
    <n v="7"/>
    <n v="1057.8900000000001"/>
    <n v="15"/>
    <x v="1"/>
    <n v="6294.4454999999998"/>
  </r>
  <r>
    <x v="6"/>
    <s v="ORD10500"/>
    <x v="26"/>
    <x v="1"/>
    <x v="1"/>
    <x v="4"/>
    <n v="5"/>
    <n v="394.09"/>
    <n v="15"/>
    <x v="4"/>
    <n v="1674.882499999999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28EF27D-26CB-42D0-8260-3BB2A463420F}" name="PivotTable1"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8">
  <location ref="B4:C9" firstHeaderRow="1" firstDataRow="1" firstDataCol="1"/>
  <pivotFields count="12">
    <pivotField showAll="0">
      <items count="185">
        <item x="183"/>
        <item x="107"/>
        <item x="162"/>
        <item x="177"/>
        <item x="37"/>
        <item x="46"/>
        <item x="23"/>
        <item x="97"/>
        <item x="27"/>
        <item x="150"/>
        <item x="169"/>
        <item x="91"/>
        <item x="42"/>
        <item x="94"/>
        <item x="99"/>
        <item x="141"/>
        <item x="145"/>
        <item x="93"/>
        <item x="147"/>
        <item x="101"/>
        <item x="111"/>
        <item x="18"/>
        <item x="92"/>
        <item x="55"/>
        <item x="22"/>
        <item x="66"/>
        <item x="15"/>
        <item x="50"/>
        <item x="7"/>
        <item x="17"/>
        <item x="72"/>
        <item x="103"/>
        <item x="28"/>
        <item x="139"/>
        <item x="165"/>
        <item x="166"/>
        <item x="127"/>
        <item x="120"/>
        <item x="59"/>
        <item x="48"/>
        <item x="142"/>
        <item x="33"/>
        <item x="14"/>
        <item x="163"/>
        <item x="84"/>
        <item x="130"/>
        <item x="89"/>
        <item x="40"/>
        <item x="1"/>
        <item x="164"/>
        <item x="57"/>
        <item x="182"/>
        <item x="60"/>
        <item x="129"/>
        <item x="49"/>
        <item x="172"/>
        <item x="34"/>
        <item x="6"/>
        <item x="154"/>
        <item x="87"/>
        <item x="11"/>
        <item x="121"/>
        <item x="102"/>
        <item x="67"/>
        <item x="133"/>
        <item x="51"/>
        <item x="4"/>
        <item x="144"/>
        <item x="2"/>
        <item x="155"/>
        <item x="26"/>
        <item x="140"/>
        <item x="77"/>
        <item x="35"/>
        <item x="170"/>
        <item x="3"/>
        <item x="45"/>
        <item x="44"/>
        <item x="134"/>
        <item x="109"/>
        <item x="143"/>
        <item x="171"/>
        <item x="8"/>
        <item x="153"/>
        <item x="86"/>
        <item x="25"/>
        <item x="122"/>
        <item x="117"/>
        <item x="81"/>
        <item x="63"/>
        <item x="12"/>
        <item x="104"/>
        <item x="71"/>
        <item x="61"/>
        <item x="54"/>
        <item x="123"/>
        <item x="136"/>
        <item x="65"/>
        <item x="31"/>
        <item x="52"/>
        <item x="95"/>
        <item x="68"/>
        <item x="21"/>
        <item x="38"/>
        <item x="39"/>
        <item x="149"/>
        <item x="178"/>
        <item x="118"/>
        <item x="160"/>
        <item x="126"/>
        <item x="98"/>
        <item x="138"/>
        <item x="20"/>
        <item x="176"/>
        <item x="125"/>
        <item x="36"/>
        <item x="175"/>
        <item x="156"/>
        <item x="108"/>
        <item x="88"/>
        <item x="124"/>
        <item x="47"/>
        <item x="157"/>
        <item x="75"/>
        <item x="79"/>
        <item x="161"/>
        <item x="76"/>
        <item x="96"/>
        <item x="116"/>
        <item x="128"/>
        <item x="105"/>
        <item x="19"/>
        <item x="137"/>
        <item x="174"/>
        <item x="181"/>
        <item x="115"/>
        <item x="41"/>
        <item x="110"/>
        <item x="56"/>
        <item x="78"/>
        <item x="113"/>
        <item x="114"/>
        <item x="106"/>
        <item x="58"/>
        <item x="13"/>
        <item x="131"/>
        <item x="30"/>
        <item x="5"/>
        <item x="148"/>
        <item x="62"/>
        <item x="82"/>
        <item x="74"/>
        <item x="85"/>
        <item x="151"/>
        <item x="168"/>
        <item x="24"/>
        <item x="9"/>
        <item x="70"/>
        <item x="83"/>
        <item x="73"/>
        <item x="159"/>
        <item x="100"/>
        <item x="69"/>
        <item x="152"/>
        <item x="132"/>
        <item x="167"/>
        <item x="173"/>
        <item x="135"/>
        <item x="119"/>
        <item x="53"/>
        <item x="90"/>
        <item x="32"/>
        <item x="16"/>
        <item x="10"/>
        <item x="0"/>
        <item x="179"/>
        <item x="64"/>
        <item x="158"/>
        <item x="180"/>
        <item x="43"/>
        <item x="112"/>
        <item x="146"/>
        <item x="29"/>
        <item x="80"/>
        <item t="default"/>
      </items>
    </pivotField>
    <pivotField showAll="0"/>
    <pivotField showAll="0"/>
    <pivotField axis="axisRow" showAll="0">
      <items count="6">
        <item x="1"/>
        <item x="0"/>
        <item x="3"/>
        <item x="2"/>
        <item m="1" x="4"/>
        <item t="default"/>
      </items>
    </pivotField>
    <pivotField showAll="0">
      <items count="6">
        <item x="1"/>
        <item x="3"/>
        <item x="0"/>
        <item x="2"/>
        <item m="1" x="4"/>
        <item t="default"/>
      </items>
    </pivotField>
    <pivotField showAll="0"/>
    <pivotField showAll="0"/>
    <pivotField numFmtId="164" showAll="0"/>
    <pivotField showAll="0"/>
    <pivotField showAll="0"/>
    <pivotField dataField="1" numFmtId="164" showAll="0"/>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t="grand">
      <x/>
    </i>
  </rowItems>
  <colItems count="1">
    <i/>
  </colItems>
  <dataFields count="1">
    <dataField name="Sum of SalesAmount" fld="10" baseField="0" baseItem="0" numFmtId="164"/>
  </dataFields>
  <chartFormats count="2">
    <chartFormat chart="29" format="0" series="1">
      <pivotArea type="data" outline="0" fieldPosition="0">
        <references count="1">
          <reference field="4294967294" count="1" selected="0">
            <x v="0"/>
          </reference>
        </references>
      </pivotArea>
    </chartFormat>
    <chartFormat chart="3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811C9BA-1F02-4BF2-947C-E3C6BE1E2073}" name="PivotTable3"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B5:C10" firstHeaderRow="1" firstDataRow="1" firstDataCol="1"/>
  <pivotFields count="12">
    <pivotField showAll="0">
      <items count="185">
        <item x="183"/>
        <item x="107"/>
        <item x="162"/>
        <item x="177"/>
        <item x="37"/>
        <item x="46"/>
        <item x="23"/>
        <item x="97"/>
        <item x="27"/>
        <item x="150"/>
        <item x="169"/>
        <item x="91"/>
        <item x="42"/>
        <item x="94"/>
        <item x="99"/>
        <item x="141"/>
        <item x="145"/>
        <item x="93"/>
        <item x="147"/>
        <item x="101"/>
        <item x="111"/>
        <item x="18"/>
        <item x="92"/>
        <item x="55"/>
        <item x="22"/>
        <item x="66"/>
        <item x="15"/>
        <item x="50"/>
        <item x="7"/>
        <item x="17"/>
        <item x="72"/>
        <item x="103"/>
        <item x="28"/>
        <item x="139"/>
        <item x="165"/>
        <item x="166"/>
        <item x="127"/>
        <item x="120"/>
        <item x="59"/>
        <item x="48"/>
        <item x="142"/>
        <item x="33"/>
        <item x="14"/>
        <item x="163"/>
        <item x="84"/>
        <item x="130"/>
        <item x="89"/>
        <item x="40"/>
        <item x="1"/>
        <item x="164"/>
        <item x="57"/>
        <item x="182"/>
        <item x="60"/>
        <item x="129"/>
        <item x="49"/>
        <item x="172"/>
        <item x="34"/>
        <item x="6"/>
        <item x="154"/>
        <item x="87"/>
        <item x="11"/>
        <item x="121"/>
        <item x="102"/>
        <item x="67"/>
        <item x="133"/>
        <item x="51"/>
        <item x="4"/>
        <item x="144"/>
        <item x="2"/>
        <item x="155"/>
        <item x="26"/>
        <item x="140"/>
        <item x="77"/>
        <item x="35"/>
        <item x="170"/>
        <item x="3"/>
        <item x="45"/>
        <item x="44"/>
        <item x="134"/>
        <item x="109"/>
        <item x="143"/>
        <item x="171"/>
        <item x="8"/>
        <item x="153"/>
        <item x="86"/>
        <item x="25"/>
        <item x="122"/>
        <item x="117"/>
        <item x="81"/>
        <item x="63"/>
        <item x="12"/>
        <item x="104"/>
        <item x="71"/>
        <item x="61"/>
        <item x="54"/>
        <item x="123"/>
        <item x="136"/>
        <item x="65"/>
        <item x="31"/>
        <item x="52"/>
        <item x="95"/>
        <item x="68"/>
        <item x="21"/>
        <item x="38"/>
        <item x="39"/>
        <item x="149"/>
        <item x="178"/>
        <item x="118"/>
        <item x="160"/>
        <item x="126"/>
        <item x="98"/>
        <item x="138"/>
        <item x="20"/>
        <item x="176"/>
        <item x="125"/>
        <item x="36"/>
        <item x="175"/>
        <item x="156"/>
        <item x="108"/>
        <item x="88"/>
        <item x="124"/>
        <item x="47"/>
        <item x="157"/>
        <item x="75"/>
        <item x="79"/>
        <item x="161"/>
        <item x="76"/>
        <item x="96"/>
        <item x="116"/>
        <item x="128"/>
        <item x="105"/>
        <item x="19"/>
        <item x="137"/>
        <item x="174"/>
        <item x="181"/>
        <item x="115"/>
        <item x="41"/>
        <item x="110"/>
        <item x="56"/>
        <item x="78"/>
        <item x="113"/>
        <item x="114"/>
        <item x="106"/>
        <item x="58"/>
        <item x="13"/>
        <item x="131"/>
        <item x="30"/>
        <item x="5"/>
        <item x="148"/>
        <item x="62"/>
        <item x="82"/>
        <item x="74"/>
        <item x="85"/>
        <item x="151"/>
        <item x="168"/>
        <item x="24"/>
        <item x="9"/>
        <item x="70"/>
        <item x="83"/>
        <item x="73"/>
        <item x="159"/>
        <item x="100"/>
        <item x="69"/>
        <item x="152"/>
        <item x="132"/>
        <item x="167"/>
        <item x="173"/>
        <item x="135"/>
        <item x="119"/>
        <item x="53"/>
        <item x="90"/>
        <item x="32"/>
        <item x="16"/>
        <item x="10"/>
        <item x="0"/>
        <item x="179"/>
        <item x="64"/>
        <item x="158"/>
        <item x="180"/>
        <item x="43"/>
        <item x="112"/>
        <item x="146"/>
        <item x="29"/>
        <item x="80"/>
        <item t="default"/>
      </items>
    </pivotField>
    <pivotField showAll="0"/>
    <pivotField showAll="0"/>
    <pivotField showAll="0">
      <items count="6">
        <item x="1"/>
        <item x="0"/>
        <item x="3"/>
        <item x="2"/>
        <item m="1" x="4"/>
        <item t="default"/>
      </items>
    </pivotField>
    <pivotField axis="axisRow" showAll="0">
      <items count="6">
        <item x="1"/>
        <item x="3"/>
        <item x="0"/>
        <item x="2"/>
        <item m="1" x="4"/>
        <item t="default"/>
      </items>
    </pivotField>
    <pivotField showAll="0"/>
    <pivotField showAll="0"/>
    <pivotField numFmtId="164" showAll="0"/>
    <pivotField showAll="0"/>
    <pivotField showAll="0"/>
    <pivotField dataField="1" numFmtId="164" showAll="0"/>
    <pivotField showAll="0">
      <items count="15">
        <item x="0"/>
        <item x="1"/>
        <item x="2"/>
        <item x="3"/>
        <item x="4"/>
        <item x="5"/>
        <item x="6"/>
        <item x="7"/>
        <item x="8"/>
        <item x="9"/>
        <item x="10"/>
        <item x="11"/>
        <item x="12"/>
        <item x="13"/>
        <item t="default"/>
      </items>
    </pivotField>
  </pivotFields>
  <rowFields count="1">
    <field x="4"/>
  </rowFields>
  <rowItems count="5">
    <i>
      <x/>
    </i>
    <i>
      <x v="1"/>
    </i>
    <i>
      <x v="2"/>
    </i>
    <i>
      <x v="3"/>
    </i>
    <i t="grand">
      <x/>
    </i>
  </rowItems>
  <colItems count="1">
    <i/>
  </colItems>
  <dataFields count="1">
    <dataField name="Sum of SalesAmount" fld="10" baseField="0" baseItem="0" numFmtId="164"/>
  </dataFields>
  <chartFormats count="2">
    <chartFormat chart="9"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A3E76F3-D0FB-4857-8F00-6FA8FA4CFF8B}" name="PivotTable7"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2:B9" firstHeaderRow="1" firstDataRow="1" firstDataCol="1"/>
  <pivotFields count="12">
    <pivotField numFmtId="14" showAll="0">
      <items count="185">
        <item x="183"/>
        <item x="107"/>
        <item x="162"/>
        <item x="177"/>
        <item x="37"/>
        <item x="46"/>
        <item x="23"/>
        <item x="97"/>
        <item x="27"/>
        <item x="150"/>
        <item x="169"/>
        <item x="91"/>
        <item x="42"/>
        <item x="94"/>
        <item x="99"/>
        <item x="141"/>
        <item x="145"/>
        <item x="93"/>
        <item x="147"/>
        <item x="101"/>
        <item x="111"/>
        <item x="18"/>
        <item x="92"/>
        <item x="55"/>
        <item x="22"/>
        <item x="66"/>
        <item x="15"/>
        <item x="50"/>
        <item x="7"/>
        <item x="17"/>
        <item x="72"/>
        <item x="103"/>
        <item x="28"/>
        <item x="139"/>
        <item x="165"/>
        <item x="166"/>
        <item x="127"/>
        <item x="120"/>
        <item x="59"/>
        <item x="48"/>
        <item x="142"/>
        <item x="33"/>
        <item x="14"/>
        <item x="163"/>
        <item x="84"/>
        <item x="130"/>
        <item x="89"/>
        <item x="40"/>
        <item x="1"/>
        <item x="164"/>
        <item x="57"/>
        <item x="182"/>
        <item x="60"/>
        <item x="129"/>
        <item x="49"/>
        <item x="172"/>
        <item x="34"/>
        <item x="6"/>
        <item x="154"/>
        <item x="87"/>
        <item x="11"/>
        <item x="121"/>
        <item x="102"/>
        <item x="67"/>
        <item x="133"/>
        <item x="51"/>
        <item x="4"/>
        <item x="144"/>
        <item x="2"/>
        <item x="155"/>
        <item x="26"/>
        <item x="140"/>
        <item x="77"/>
        <item x="35"/>
        <item x="170"/>
        <item x="3"/>
        <item x="45"/>
        <item x="44"/>
        <item x="134"/>
        <item x="109"/>
        <item x="143"/>
        <item x="171"/>
        <item x="8"/>
        <item x="153"/>
        <item x="86"/>
        <item x="25"/>
        <item x="122"/>
        <item x="117"/>
        <item x="81"/>
        <item x="63"/>
        <item x="12"/>
        <item x="104"/>
        <item x="71"/>
        <item x="61"/>
        <item x="54"/>
        <item x="123"/>
        <item x="136"/>
        <item x="65"/>
        <item x="31"/>
        <item x="52"/>
        <item x="95"/>
        <item x="68"/>
        <item x="21"/>
        <item x="38"/>
        <item x="39"/>
        <item x="149"/>
        <item x="178"/>
        <item x="118"/>
        <item x="160"/>
        <item x="126"/>
        <item x="98"/>
        <item x="138"/>
        <item x="20"/>
        <item x="176"/>
        <item x="125"/>
        <item x="36"/>
        <item x="175"/>
        <item x="156"/>
        <item x="108"/>
        <item x="88"/>
        <item x="124"/>
        <item x="47"/>
        <item x="157"/>
        <item x="75"/>
        <item x="79"/>
        <item x="161"/>
        <item x="76"/>
        <item x="96"/>
        <item x="116"/>
        <item x="128"/>
        <item x="105"/>
        <item x="19"/>
        <item x="137"/>
        <item x="174"/>
        <item x="181"/>
        <item x="115"/>
        <item x="41"/>
        <item x="110"/>
        <item x="56"/>
        <item x="78"/>
        <item x="113"/>
        <item x="114"/>
        <item x="106"/>
        <item x="58"/>
        <item x="13"/>
        <item x="131"/>
        <item x="30"/>
        <item x="5"/>
        <item x="148"/>
        <item x="62"/>
        <item x="82"/>
        <item x="74"/>
        <item x="85"/>
        <item x="151"/>
        <item x="168"/>
        <item x="24"/>
        <item x="9"/>
        <item x="70"/>
        <item x="83"/>
        <item x="73"/>
        <item x="159"/>
        <item x="100"/>
        <item x="69"/>
        <item x="152"/>
        <item x="132"/>
        <item x="167"/>
        <item x="173"/>
        <item x="135"/>
        <item x="119"/>
        <item x="53"/>
        <item x="90"/>
        <item x="32"/>
        <item x="16"/>
        <item x="10"/>
        <item x="0"/>
        <item x="179"/>
        <item x="64"/>
        <item x="158"/>
        <item x="180"/>
        <item x="43"/>
        <item x="112"/>
        <item x="146"/>
        <item x="29"/>
        <item x="80"/>
        <item t="default"/>
      </items>
    </pivotField>
    <pivotField showAll="0"/>
    <pivotField showAll="0"/>
    <pivotField showAll="0">
      <items count="6">
        <item x="1"/>
        <item x="0"/>
        <item x="3"/>
        <item x="2"/>
        <item m="1" x="4"/>
        <item t="default"/>
      </items>
    </pivotField>
    <pivotField showAll="0">
      <items count="6">
        <item x="1"/>
        <item x="3"/>
        <item x="0"/>
        <item x="2"/>
        <item m="1" x="4"/>
        <item t="default"/>
      </items>
    </pivotField>
    <pivotField showAll="0"/>
    <pivotField showAll="0"/>
    <pivotField numFmtId="164" showAll="0"/>
    <pivotField showAll="0"/>
    <pivotField axis="axisRow" showAll="0">
      <items count="7">
        <item x="4"/>
        <item x="1"/>
        <item x="3"/>
        <item x="2"/>
        <item x="5"/>
        <item x="0"/>
        <item t="default"/>
      </items>
    </pivotField>
    <pivotField dataField="1" numFmtId="164" showAll="0"/>
    <pivotField showAll="0" defaultSubtotal="0">
      <items count="14">
        <item x="0"/>
        <item x="1"/>
        <item x="2"/>
        <item x="3"/>
        <item x="4"/>
        <item x="5"/>
        <item x="6"/>
        <item x="7"/>
        <item x="8"/>
        <item x="9"/>
        <item x="10"/>
        <item x="11"/>
        <item x="12"/>
        <item x="13"/>
      </items>
    </pivotField>
  </pivotFields>
  <rowFields count="1">
    <field x="9"/>
  </rowFields>
  <rowItems count="7">
    <i>
      <x/>
    </i>
    <i>
      <x v="1"/>
    </i>
    <i>
      <x v="2"/>
    </i>
    <i>
      <x v="3"/>
    </i>
    <i>
      <x v="4"/>
    </i>
    <i>
      <x v="5"/>
    </i>
    <i t="grand">
      <x/>
    </i>
  </rowItems>
  <colItems count="1">
    <i/>
  </colItems>
  <dataFields count="1">
    <dataField name="% of TotalSales" fld="10" showDataAs="percentOfTotal" baseField="0" baseItem="0" numFmtId="10"/>
  </dataFields>
  <chartFormats count="14">
    <chartFormat chart="18" format="0" series="1">
      <pivotArea type="data" outline="0" fieldPosition="0">
        <references count="1">
          <reference field="4294967294" count="1" selected="0">
            <x v="0"/>
          </reference>
        </references>
      </pivotArea>
    </chartFormat>
    <chartFormat chart="23" format="8" series="1">
      <pivotArea type="data" outline="0" fieldPosition="0">
        <references count="1">
          <reference field="4294967294" count="1" selected="0">
            <x v="0"/>
          </reference>
        </references>
      </pivotArea>
    </chartFormat>
    <chartFormat chart="23" format="9">
      <pivotArea type="data" outline="0" fieldPosition="0">
        <references count="2">
          <reference field="4294967294" count="1" selected="0">
            <x v="0"/>
          </reference>
          <reference field="9" count="1" selected="0">
            <x v="0"/>
          </reference>
        </references>
      </pivotArea>
    </chartFormat>
    <chartFormat chart="23" format="10">
      <pivotArea type="data" outline="0" fieldPosition="0">
        <references count="2">
          <reference field="4294967294" count="1" selected="0">
            <x v="0"/>
          </reference>
          <reference field="9" count="1" selected="0">
            <x v="1"/>
          </reference>
        </references>
      </pivotArea>
    </chartFormat>
    <chartFormat chart="23" format="11">
      <pivotArea type="data" outline="0" fieldPosition="0">
        <references count="2">
          <reference field="4294967294" count="1" selected="0">
            <x v="0"/>
          </reference>
          <reference field="9" count="1" selected="0">
            <x v="2"/>
          </reference>
        </references>
      </pivotArea>
    </chartFormat>
    <chartFormat chart="23" format="12">
      <pivotArea type="data" outline="0" fieldPosition="0">
        <references count="2">
          <reference field="4294967294" count="1" selected="0">
            <x v="0"/>
          </reference>
          <reference field="9" count="1" selected="0">
            <x v="3"/>
          </reference>
        </references>
      </pivotArea>
    </chartFormat>
    <chartFormat chart="23" format="13">
      <pivotArea type="data" outline="0" fieldPosition="0">
        <references count="2">
          <reference field="4294967294" count="1" selected="0">
            <x v="0"/>
          </reference>
          <reference field="9" count="1" selected="0">
            <x v="4"/>
          </reference>
        </references>
      </pivotArea>
    </chartFormat>
    <chartFormat chart="23" format="14">
      <pivotArea type="data" outline="0" fieldPosition="0">
        <references count="2">
          <reference field="4294967294" count="1" selected="0">
            <x v="0"/>
          </reference>
          <reference field="9" count="1" selected="0">
            <x v="5"/>
          </reference>
        </references>
      </pivotArea>
    </chartFormat>
    <chartFormat chart="18" format="1">
      <pivotArea type="data" outline="0" fieldPosition="0">
        <references count="2">
          <reference field="4294967294" count="1" selected="0">
            <x v="0"/>
          </reference>
          <reference field="9" count="1" selected="0">
            <x v="0"/>
          </reference>
        </references>
      </pivotArea>
    </chartFormat>
    <chartFormat chart="18" format="2">
      <pivotArea type="data" outline="0" fieldPosition="0">
        <references count="2">
          <reference field="4294967294" count="1" selected="0">
            <x v="0"/>
          </reference>
          <reference field="9" count="1" selected="0">
            <x v="1"/>
          </reference>
        </references>
      </pivotArea>
    </chartFormat>
    <chartFormat chart="18" format="3">
      <pivotArea type="data" outline="0" fieldPosition="0">
        <references count="2">
          <reference field="4294967294" count="1" selected="0">
            <x v="0"/>
          </reference>
          <reference field="9" count="1" selected="0">
            <x v="2"/>
          </reference>
        </references>
      </pivotArea>
    </chartFormat>
    <chartFormat chart="18" format="4">
      <pivotArea type="data" outline="0" fieldPosition="0">
        <references count="2">
          <reference field="4294967294" count="1" selected="0">
            <x v="0"/>
          </reference>
          <reference field="9" count="1" selected="0">
            <x v="3"/>
          </reference>
        </references>
      </pivotArea>
    </chartFormat>
    <chartFormat chart="18" format="5">
      <pivotArea type="data" outline="0" fieldPosition="0">
        <references count="2">
          <reference field="4294967294" count="1" selected="0">
            <x v="0"/>
          </reference>
          <reference field="9" count="1" selected="0">
            <x v="4"/>
          </reference>
        </references>
      </pivotArea>
    </chartFormat>
    <chartFormat chart="18" format="6">
      <pivotArea type="data" outline="0" fieldPosition="0">
        <references count="2">
          <reference field="4294967294" count="1" selected="0">
            <x v="0"/>
          </reference>
          <reference field="9"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0A9ECB0-326C-4B78-8E01-9C763C4046AB}" name="PivotTable8"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3:B84" firstHeaderRow="1" firstDataRow="1" firstDataCol="1"/>
  <pivotFields count="12">
    <pivotField numFmtId="14" showAll="0">
      <items count="185">
        <item x="183"/>
        <item x="107"/>
        <item x="162"/>
        <item x="177"/>
        <item x="37"/>
        <item x="46"/>
        <item x="23"/>
        <item x="97"/>
        <item x="27"/>
        <item x="150"/>
        <item x="169"/>
        <item x="91"/>
        <item x="42"/>
        <item x="94"/>
        <item x="99"/>
        <item x="141"/>
        <item x="145"/>
        <item x="93"/>
        <item x="147"/>
        <item x="101"/>
        <item x="111"/>
        <item x="18"/>
        <item x="92"/>
        <item x="55"/>
        <item x="22"/>
        <item x="66"/>
        <item x="15"/>
        <item x="50"/>
        <item x="7"/>
        <item x="17"/>
        <item x="72"/>
        <item x="103"/>
        <item x="28"/>
        <item x="139"/>
        <item x="165"/>
        <item x="166"/>
        <item x="127"/>
        <item x="120"/>
        <item x="59"/>
        <item x="48"/>
        <item x="142"/>
        <item x="33"/>
        <item x="14"/>
        <item x="163"/>
        <item x="84"/>
        <item x="130"/>
        <item x="89"/>
        <item x="40"/>
        <item x="1"/>
        <item x="164"/>
        <item x="57"/>
        <item x="182"/>
        <item x="60"/>
        <item x="129"/>
        <item x="49"/>
        <item x="172"/>
        <item x="34"/>
        <item x="6"/>
        <item x="154"/>
        <item x="87"/>
        <item x="11"/>
        <item x="121"/>
        <item x="102"/>
        <item x="67"/>
        <item x="133"/>
        <item x="51"/>
        <item x="4"/>
        <item x="144"/>
        <item x="2"/>
        <item x="155"/>
        <item x="26"/>
        <item x="140"/>
        <item x="77"/>
        <item x="35"/>
        <item x="170"/>
        <item x="3"/>
        <item x="45"/>
        <item x="44"/>
        <item x="134"/>
        <item x="109"/>
        <item x="143"/>
        <item x="171"/>
        <item x="8"/>
        <item x="153"/>
        <item x="86"/>
        <item x="25"/>
        <item x="122"/>
        <item x="117"/>
        <item x="81"/>
        <item x="63"/>
        <item x="12"/>
        <item x="104"/>
        <item x="71"/>
        <item x="61"/>
        <item x="54"/>
        <item x="123"/>
        <item x="136"/>
        <item x="65"/>
        <item x="31"/>
        <item x="52"/>
        <item x="95"/>
        <item x="68"/>
        <item x="21"/>
        <item x="38"/>
        <item x="39"/>
        <item x="149"/>
        <item x="178"/>
        <item x="118"/>
        <item x="160"/>
        <item x="126"/>
        <item x="98"/>
        <item x="138"/>
        <item x="20"/>
        <item x="176"/>
        <item x="125"/>
        <item x="36"/>
        <item x="175"/>
        <item x="156"/>
        <item x="108"/>
        <item x="88"/>
        <item x="124"/>
        <item x="47"/>
        <item x="157"/>
        <item x="75"/>
        <item x="79"/>
        <item x="161"/>
        <item x="76"/>
        <item x="96"/>
        <item x="116"/>
        <item x="128"/>
        <item x="105"/>
        <item x="19"/>
        <item x="137"/>
        <item x="174"/>
        <item x="181"/>
        <item x="115"/>
        <item x="41"/>
        <item x="110"/>
        <item x="56"/>
        <item x="78"/>
        <item x="113"/>
        <item x="114"/>
        <item x="106"/>
        <item x="58"/>
        <item x="13"/>
        <item x="131"/>
        <item x="30"/>
        <item x="5"/>
        <item x="148"/>
        <item x="62"/>
        <item x="82"/>
        <item x="74"/>
        <item x="85"/>
        <item x="151"/>
        <item x="168"/>
        <item x="24"/>
        <item x="9"/>
        <item x="70"/>
        <item x="83"/>
        <item x="73"/>
        <item x="159"/>
        <item x="100"/>
        <item x="69"/>
        <item x="152"/>
        <item x="132"/>
        <item x="167"/>
        <item x="173"/>
        <item x="135"/>
        <item x="119"/>
        <item x="53"/>
        <item x="90"/>
        <item x="32"/>
        <item x="16"/>
        <item x="10"/>
        <item x="0"/>
        <item x="179"/>
        <item x="64"/>
        <item x="158"/>
        <item x="180"/>
        <item x="43"/>
        <item x="112"/>
        <item x="146"/>
        <item x="29"/>
        <item x="80"/>
        <item t="default"/>
      </items>
    </pivotField>
    <pivotField dataField="1" showAll="0"/>
    <pivotField axis="axisRow" showAll="0">
      <items count="81">
        <item x="13"/>
        <item x="66"/>
        <item x="48"/>
        <item x="38"/>
        <item x="25"/>
        <item x="3"/>
        <item x="15"/>
        <item x="12"/>
        <item x="20"/>
        <item x="36"/>
        <item x="45"/>
        <item x="28"/>
        <item x="51"/>
        <item x="19"/>
        <item x="4"/>
        <item x="59"/>
        <item x="52"/>
        <item x="54"/>
        <item x="50"/>
        <item x="7"/>
        <item x="26"/>
        <item x="10"/>
        <item x="77"/>
        <item x="39"/>
        <item x="44"/>
        <item x="33"/>
        <item x="68"/>
        <item x="27"/>
        <item x="35"/>
        <item x="30"/>
        <item x="70"/>
        <item x="23"/>
        <item x="43"/>
        <item x="56"/>
        <item x="1"/>
        <item x="63"/>
        <item x="22"/>
        <item x="31"/>
        <item x="32"/>
        <item x="29"/>
        <item x="34"/>
        <item x="0"/>
        <item x="6"/>
        <item x="40"/>
        <item x="18"/>
        <item x="60"/>
        <item x="24"/>
        <item x="64"/>
        <item x="14"/>
        <item x="71"/>
        <item x="17"/>
        <item x="53"/>
        <item x="73"/>
        <item x="37"/>
        <item x="41"/>
        <item x="21"/>
        <item x="9"/>
        <item x="78"/>
        <item x="65"/>
        <item x="69"/>
        <item x="67"/>
        <item x="58"/>
        <item x="74"/>
        <item x="2"/>
        <item x="72"/>
        <item x="55"/>
        <item x="75"/>
        <item x="16"/>
        <item x="8"/>
        <item x="11"/>
        <item x="5"/>
        <item x="76"/>
        <item x="42"/>
        <item x="46"/>
        <item x="79"/>
        <item x="62"/>
        <item x="47"/>
        <item x="57"/>
        <item x="61"/>
        <item x="49"/>
        <item t="default"/>
      </items>
    </pivotField>
    <pivotField showAll="0">
      <items count="6">
        <item x="1"/>
        <item x="0"/>
        <item x="3"/>
        <item x="2"/>
        <item m="1" x="4"/>
        <item t="default"/>
      </items>
    </pivotField>
    <pivotField showAll="0">
      <items count="6">
        <item x="1"/>
        <item x="3"/>
        <item x="0"/>
        <item x="2"/>
        <item m="1" x="4"/>
        <item t="default"/>
      </items>
    </pivotField>
    <pivotField showAll="0"/>
    <pivotField showAll="0"/>
    <pivotField numFmtId="164" showAll="0"/>
    <pivotField showAll="0"/>
    <pivotField showAll="0"/>
    <pivotField numFmtId="164" showAll="0"/>
    <pivotField showAll="0" defaultSubtotal="0">
      <items count="14">
        <item x="0"/>
        <item x="1"/>
        <item x="2"/>
        <item x="3"/>
        <item x="4"/>
        <item x="5"/>
        <item x="6"/>
        <item x="7"/>
        <item x="8"/>
        <item x="9"/>
        <item x="10"/>
        <item x="11"/>
        <item x="12"/>
        <item x="13"/>
      </items>
    </pivotField>
  </pivotFields>
  <rowFields count="1">
    <field x="2"/>
  </rowFields>
  <rowItems count="8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t="grand">
      <x/>
    </i>
  </rowItems>
  <colItems count="1">
    <i/>
  </colItems>
  <dataFields count="1">
    <dataField name="Count of Order ID" fld="1" subtotal="count" baseField="0" baseItem="0"/>
  </dataFields>
  <chartFormats count="1">
    <chartFormat chart="2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E0B5CB5-88AF-4A91-99FC-05A12D73812C}" name="PivotTable6"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B6:C14" firstHeaderRow="1" firstDataRow="1" firstDataCol="1"/>
  <pivotFields count="12">
    <pivotField showAll="0">
      <items count="185">
        <item x="183"/>
        <item x="107"/>
        <item x="162"/>
        <item x="177"/>
        <item x="37"/>
        <item x="46"/>
        <item x="23"/>
        <item x="97"/>
        <item x="27"/>
        <item x="150"/>
        <item x="169"/>
        <item x="91"/>
        <item x="42"/>
        <item x="94"/>
        <item x="99"/>
        <item x="141"/>
        <item x="145"/>
        <item x="93"/>
        <item x="147"/>
        <item x="101"/>
        <item x="111"/>
        <item x="18"/>
        <item x="92"/>
        <item x="55"/>
        <item x="22"/>
        <item x="66"/>
        <item x="15"/>
        <item x="50"/>
        <item x="7"/>
        <item x="17"/>
        <item x="72"/>
        <item x="103"/>
        <item x="28"/>
        <item x="139"/>
        <item x="165"/>
        <item x="166"/>
        <item x="127"/>
        <item x="120"/>
        <item x="59"/>
        <item x="48"/>
        <item x="142"/>
        <item x="33"/>
        <item x="14"/>
        <item x="163"/>
        <item x="84"/>
        <item x="130"/>
        <item x="89"/>
        <item x="40"/>
        <item x="1"/>
        <item x="164"/>
        <item x="57"/>
        <item x="182"/>
        <item x="60"/>
        <item x="129"/>
        <item x="49"/>
        <item x="172"/>
        <item x="34"/>
        <item x="6"/>
        <item x="154"/>
        <item x="87"/>
        <item x="11"/>
        <item x="121"/>
        <item x="102"/>
        <item x="67"/>
        <item x="133"/>
        <item x="51"/>
        <item x="4"/>
        <item x="144"/>
        <item x="2"/>
        <item x="155"/>
        <item x="26"/>
        <item x="140"/>
        <item x="77"/>
        <item x="35"/>
        <item x="170"/>
        <item x="3"/>
        <item x="45"/>
        <item x="44"/>
        <item x="134"/>
        <item x="109"/>
        <item x="143"/>
        <item x="171"/>
        <item x="8"/>
        <item x="153"/>
        <item x="86"/>
        <item x="25"/>
        <item x="122"/>
        <item x="117"/>
        <item x="81"/>
        <item x="63"/>
        <item x="12"/>
        <item x="104"/>
        <item x="71"/>
        <item x="61"/>
        <item x="54"/>
        <item x="123"/>
        <item x="136"/>
        <item x="65"/>
        <item x="31"/>
        <item x="52"/>
        <item x="95"/>
        <item x="68"/>
        <item x="21"/>
        <item x="38"/>
        <item x="39"/>
        <item x="149"/>
        <item x="178"/>
        <item x="118"/>
        <item x="160"/>
        <item x="126"/>
        <item x="98"/>
        <item x="138"/>
        <item x="20"/>
        <item x="176"/>
        <item x="125"/>
        <item x="36"/>
        <item x="175"/>
        <item x="156"/>
        <item x="108"/>
        <item x="88"/>
        <item x="124"/>
        <item x="47"/>
        <item x="157"/>
        <item x="75"/>
        <item x="79"/>
        <item x="161"/>
        <item x="76"/>
        <item x="96"/>
        <item x="116"/>
        <item x="128"/>
        <item x="105"/>
        <item x="19"/>
        <item x="137"/>
        <item x="174"/>
        <item x="181"/>
        <item x="115"/>
        <item x="41"/>
        <item x="110"/>
        <item x="56"/>
        <item x="78"/>
        <item x="113"/>
        <item x="114"/>
        <item x="106"/>
        <item x="58"/>
        <item x="13"/>
        <item x="131"/>
        <item x="30"/>
        <item x="5"/>
        <item x="148"/>
        <item x="62"/>
        <item x="82"/>
        <item x="74"/>
        <item x="85"/>
        <item x="151"/>
        <item x="168"/>
        <item x="24"/>
        <item x="9"/>
        <item x="70"/>
        <item x="83"/>
        <item x="73"/>
        <item x="159"/>
        <item x="100"/>
        <item x="69"/>
        <item x="152"/>
        <item x="132"/>
        <item x="167"/>
        <item x="173"/>
        <item x="135"/>
        <item x="119"/>
        <item x="53"/>
        <item x="90"/>
        <item x="32"/>
        <item x="16"/>
        <item x="10"/>
        <item x="0"/>
        <item x="179"/>
        <item x="64"/>
        <item x="158"/>
        <item x="180"/>
        <item x="43"/>
        <item x="112"/>
        <item x="146"/>
        <item x="29"/>
        <item x="80"/>
        <item t="default"/>
      </items>
    </pivotField>
    <pivotField showAll="0"/>
    <pivotField showAll="0"/>
    <pivotField showAll="0">
      <items count="6">
        <item x="1"/>
        <item x="0"/>
        <item x="3"/>
        <item x="2"/>
        <item m="1" x="4"/>
        <item t="default"/>
      </items>
    </pivotField>
    <pivotField showAll="0">
      <items count="6">
        <item x="1"/>
        <item x="3"/>
        <item x="0"/>
        <item x="2"/>
        <item m="1" x="4"/>
        <item t="default"/>
      </items>
    </pivotField>
    <pivotField showAll="0"/>
    <pivotField showAll="0"/>
    <pivotField showAll="0"/>
    <pivotField showAll="0"/>
    <pivotField showAll="0"/>
    <pivotField dataField="1" numFmtId="164" showAll="0"/>
    <pivotField axis="axisRow" showAll="0">
      <items count="15">
        <item x="0"/>
        <item x="1"/>
        <item x="2"/>
        <item x="3"/>
        <item x="4"/>
        <item x="5"/>
        <item x="6"/>
        <item x="7"/>
        <item x="8"/>
        <item x="9"/>
        <item x="10"/>
        <item x="11"/>
        <item x="12"/>
        <item x="13"/>
        <item t="default"/>
      </items>
    </pivotField>
  </pivotFields>
  <rowFields count="1">
    <field x="11"/>
  </rowFields>
  <rowItems count="8">
    <i>
      <x v="1"/>
    </i>
    <i>
      <x v="2"/>
    </i>
    <i>
      <x v="3"/>
    </i>
    <i>
      <x v="4"/>
    </i>
    <i>
      <x v="5"/>
    </i>
    <i>
      <x v="6"/>
    </i>
    <i>
      <x v="7"/>
    </i>
    <i t="grand">
      <x/>
    </i>
  </rowItems>
  <colItems count="1">
    <i/>
  </colItems>
  <dataFields count="1">
    <dataField name="Sum of SalesAmount" fld="10" baseField="0" baseItem="0" numFmtId="164"/>
  </dataFields>
  <chartFormats count="2">
    <chartFormat chart="16"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B6B4194-BE2E-4245-8A1C-F8384E93B309}" name="PivotTable9"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B17" firstHeaderRow="1" firstDataRow="1" firstDataCol="1"/>
  <pivotFields count="12">
    <pivotField numFmtId="14" showAll="0">
      <items count="185">
        <item x="183"/>
        <item x="107"/>
        <item x="162"/>
        <item x="177"/>
        <item x="37"/>
        <item x="46"/>
        <item x="23"/>
        <item x="97"/>
        <item x="27"/>
        <item x="150"/>
        <item x="169"/>
        <item x="91"/>
        <item x="42"/>
        <item x="94"/>
        <item x="99"/>
        <item x="141"/>
        <item x="145"/>
        <item x="93"/>
        <item x="147"/>
        <item x="101"/>
        <item x="111"/>
        <item x="18"/>
        <item x="92"/>
        <item x="55"/>
        <item x="22"/>
        <item x="66"/>
        <item x="15"/>
        <item x="50"/>
        <item x="7"/>
        <item x="17"/>
        <item x="72"/>
        <item x="103"/>
        <item x="28"/>
        <item x="139"/>
        <item x="165"/>
        <item x="166"/>
        <item x="127"/>
        <item x="120"/>
        <item x="59"/>
        <item x="48"/>
        <item x="142"/>
        <item x="33"/>
        <item x="14"/>
        <item x="163"/>
        <item x="84"/>
        <item x="130"/>
        <item x="89"/>
        <item x="40"/>
        <item x="1"/>
        <item x="164"/>
        <item x="57"/>
        <item x="182"/>
        <item x="60"/>
        <item x="129"/>
        <item x="49"/>
        <item x="172"/>
        <item x="34"/>
        <item x="6"/>
        <item x="154"/>
        <item x="87"/>
        <item x="11"/>
        <item x="121"/>
        <item x="102"/>
        <item x="67"/>
        <item x="133"/>
        <item x="51"/>
        <item x="4"/>
        <item x="144"/>
        <item x="2"/>
        <item x="155"/>
        <item x="26"/>
        <item x="140"/>
        <item x="77"/>
        <item x="35"/>
        <item x="170"/>
        <item x="3"/>
        <item x="45"/>
        <item x="44"/>
        <item x="134"/>
        <item x="109"/>
        <item x="143"/>
        <item x="171"/>
        <item x="8"/>
        <item x="153"/>
        <item x="86"/>
        <item x="25"/>
        <item x="122"/>
        <item x="117"/>
        <item x="81"/>
        <item x="63"/>
        <item x="12"/>
        <item x="104"/>
        <item x="71"/>
        <item x="61"/>
        <item x="54"/>
        <item x="123"/>
        <item x="136"/>
        <item x="65"/>
        <item x="31"/>
        <item x="52"/>
        <item x="95"/>
        <item x="68"/>
        <item x="21"/>
        <item x="38"/>
        <item x="39"/>
        <item x="149"/>
        <item x="178"/>
        <item x="118"/>
        <item x="160"/>
        <item x="126"/>
        <item x="98"/>
        <item x="138"/>
        <item x="20"/>
        <item x="176"/>
        <item x="125"/>
        <item x="36"/>
        <item x="175"/>
        <item x="156"/>
        <item x="108"/>
        <item x="88"/>
        <item x="124"/>
        <item x="47"/>
        <item x="157"/>
        <item x="75"/>
        <item x="79"/>
        <item x="161"/>
        <item x="76"/>
        <item x="96"/>
        <item x="116"/>
        <item x="128"/>
        <item x="105"/>
        <item x="19"/>
        <item x="137"/>
        <item x="174"/>
        <item x="181"/>
        <item x="115"/>
        <item x="41"/>
        <item x="110"/>
        <item x="56"/>
        <item x="78"/>
        <item x="113"/>
        <item x="114"/>
        <item x="106"/>
        <item x="58"/>
        <item x="13"/>
        <item x="131"/>
        <item x="30"/>
        <item x="5"/>
        <item x="148"/>
        <item x="62"/>
        <item x="82"/>
        <item x="74"/>
        <item x="85"/>
        <item x="151"/>
        <item x="168"/>
        <item x="24"/>
        <item x="9"/>
        <item x="70"/>
        <item x="83"/>
        <item x="73"/>
        <item x="159"/>
        <item x="100"/>
        <item x="69"/>
        <item x="152"/>
        <item x="132"/>
        <item x="167"/>
        <item x="173"/>
        <item x="135"/>
        <item x="119"/>
        <item x="53"/>
        <item x="90"/>
        <item x="32"/>
        <item x="16"/>
        <item x="10"/>
        <item x="0"/>
        <item x="179"/>
        <item x="64"/>
        <item x="158"/>
        <item x="180"/>
        <item x="43"/>
        <item x="112"/>
        <item x="146"/>
        <item x="29"/>
        <item x="80"/>
        <item t="default"/>
      </items>
    </pivotField>
    <pivotField showAll="0"/>
    <pivotField showAll="0"/>
    <pivotField showAll="0">
      <items count="6">
        <item x="1"/>
        <item x="0"/>
        <item x="3"/>
        <item x="2"/>
        <item m="1" x="4"/>
        <item t="default"/>
      </items>
    </pivotField>
    <pivotField showAll="0">
      <items count="6">
        <item x="1"/>
        <item x="3"/>
        <item x="0"/>
        <item x="2"/>
        <item m="1" x="4"/>
        <item t="default"/>
      </items>
    </pivotField>
    <pivotField axis="axisRow" showAll="0">
      <items count="14">
        <item x="9"/>
        <item x="1"/>
        <item x="0"/>
        <item x="4"/>
        <item x="12"/>
        <item x="7"/>
        <item x="8"/>
        <item x="10"/>
        <item x="11"/>
        <item x="3"/>
        <item x="5"/>
        <item x="6"/>
        <item x="2"/>
        <item t="default"/>
      </items>
    </pivotField>
    <pivotField showAll="0"/>
    <pivotField numFmtId="164" showAll="0"/>
    <pivotField showAll="0"/>
    <pivotField showAll="0"/>
    <pivotField dataField="1" numFmtId="164" showAll="0"/>
    <pivotField showAll="0" defaultSubtotal="0">
      <items count="14">
        <item x="0"/>
        <item x="1"/>
        <item x="2"/>
        <item x="3"/>
        <item x="4"/>
        <item x="5"/>
        <item x="6"/>
        <item x="7"/>
        <item x="8"/>
        <item x="9"/>
        <item x="10"/>
        <item x="11"/>
        <item x="12"/>
        <item x="13"/>
      </items>
    </pivotField>
  </pivotFields>
  <rowFields count="1">
    <field x="5"/>
  </rowFields>
  <rowItems count="14">
    <i>
      <x/>
    </i>
    <i>
      <x v="1"/>
    </i>
    <i>
      <x v="2"/>
    </i>
    <i>
      <x v="3"/>
    </i>
    <i>
      <x v="4"/>
    </i>
    <i>
      <x v="5"/>
    </i>
    <i>
      <x v="6"/>
    </i>
    <i>
      <x v="7"/>
    </i>
    <i>
      <x v="8"/>
    </i>
    <i>
      <x v="9"/>
    </i>
    <i>
      <x v="10"/>
    </i>
    <i>
      <x v="11"/>
    </i>
    <i>
      <x v="12"/>
    </i>
    <i t="grand">
      <x/>
    </i>
  </rowItems>
  <colItems count="1">
    <i/>
  </colItems>
  <dataFields count="1">
    <dataField name="Sum of SalesAmount" fld="10" baseField="0" baseItem="0" numFmtId="164"/>
  </dataFields>
  <chartFormats count="1">
    <chartFormat chart="18"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654123F-9ED6-4D5D-8909-20A1FDFF5F45}" sourceName="Region">
  <pivotTables>
    <pivotTable tabId="3" name="PivotTable3"/>
    <pivotTable tabId="6" name="PivotTable6"/>
    <pivotTable tabId="9" name="PivotTable8"/>
    <pivotTable tabId="8" name="PivotTable7"/>
    <pivotTable tabId="2" name="PivotTable1"/>
    <pivotTable tabId="10" name="PivotTable9"/>
  </pivotTables>
  <data>
    <tabular pivotCacheId="730515407">
      <items count="5">
        <i x="1" s="1"/>
        <i x="0" s="1"/>
        <i x="3" s="1"/>
        <i x="2" s="1"/>
        <i x="4"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260AE1C7-4A13-433D-80C9-E12608092D6C}" sourceName="Product Category">
  <pivotTables>
    <pivotTable tabId="3" name="PivotTable3"/>
    <pivotTable tabId="6" name="PivotTable6"/>
    <pivotTable tabId="9" name="PivotTable8"/>
    <pivotTable tabId="8" name="PivotTable7"/>
    <pivotTable tabId="2" name="PivotTable1"/>
    <pivotTable tabId="10" name="PivotTable9"/>
  </pivotTables>
  <data>
    <tabular pivotCacheId="730515407">
      <items count="5">
        <i x="1" s="1"/>
        <i x="3" s="1"/>
        <i x="0" s="1"/>
        <i x="2" s="1"/>
        <i x="4"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F0AC3C49-F09C-48CA-80C8-3E4E9C5A6A06}" sourceName="Months (Order Date)">
  <pivotTables>
    <pivotTable tabId="3" name="PivotTable3"/>
    <pivotTable tabId="6" name="PivotTable6"/>
    <pivotTable tabId="9" name="PivotTable8"/>
    <pivotTable tabId="8" name="PivotTable7"/>
    <pivotTable tabId="2" name="PivotTable1"/>
    <pivotTable tabId="10" name="PivotTable9"/>
  </pivotTables>
  <data>
    <tabular pivotCacheId="730515407">
      <items count="14">
        <i x="1" s="1"/>
        <i x="2" s="1"/>
        <i x="3" s="1"/>
        <i x="4" s="1"/>
        <i x="5" s="1"/>
        <i x="6" s="1"/>
        <i x="7" s="1"/>
        <i x="8" s="1" nd="1"/>
        <i x="9" s="1" nd="1"/>
        <i x="10" s="1" nd="1"/>
        <i x="11" s="1" nd="1"/>
        <i x="12" s="1" nd="1"/>
        <i x="0" s="1" nd="1"/>
        <i x="1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B83DC325-AADC-49B4-81DE-8EBA7E20E0A3}" cache="Slicer_Region" caption="Region" rowHeight="241300"/>
  <slicer name="Product Category" xr10:uid="{B4B4E63F-67FB-422B-B063-AA809CBF8F39}" cache="Slicer_Product_Category" caption="Product Category" rowHeight="241300"/>
  <slicer name="Months (Order Date)" xr10:uid="{9FCEAB37-CDC2-438B-BEB9-19500A3DEC76}" cache="Slicer_Months__Order_Date" caption="Months (Order Dat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AE9D6B0-053A-49C7-A511-D0B63D808B30}" name="SalesData" displayName="SalesData" ref="A1:K501" totalsRowShown="0" headerRowDxfId="12" dataDxfId="11">
  <tableColumns count="11">
    <tableColumn id="1" xr3:uid="{96997697-95C7-4156-8668-89ED37A798B4}" name="Order Date" dataDxfId="10"/>
    <tableColumn id="2" xr3:uid="{7C7F86F2-86A5-4BF1-939F-28FFE05EB717}" name="Order ID" dataDxfId="9"/>
    <tableColumn id="3" xr3:uid="{8CF0BE4C-C4C3-4603-A00D-01977DFD16E0}" name="Customer Name" dataDxfId="8"/>
    <tableColumn id="4" xr3:uid="{E44747A4-ED37-484C-BFA0-82E48B2E613A}" name="Region" dataDxfId="7"/>
    <tableColumn id="5" xr3:uid="{500CC624-9451-461A-BD2A-2EEC55267B34}" name="Product Category" dataDxfId="6"/>
    <tableColumn id="6" xr3:uid="{12E30F88-41D1-4FF6-81C0-474627039C2F}" name="Product" dataDxfId="5"/>
    <tableColumn id="7" xr3:uid="{C4E53B74-F8A5-4EA2-8D3D-0053CAF6EBD6}" name="Quantity" dataDxfId="4"/>
    <tableColumn id="8" xr3:uid="{59D9ADAB-A60E-4FED-996C-79194413205B}" name="Unit Price" dataDxfId="3"/>
    <tableColumn id="9" xr3:uid="{0AC7FAB6-F82A-45DE-B5F1-A728A8AFF998}" name="Discount (%)" dataDxfId="2"/>
    <tableColumn id="10" xr3:uid="{56E8F266-F559-4D02-B81A-B236D9A98D44}" name="Salesperson" dataDxfId="1"/>
    <tableColumn id="11" xr3:uid="{D754D05E-561F-45DD-84C7-284D04994469}" name="SalesAmount" dataDxfId="0">
      <calculatedColumnFormula>SalesData[[#This Row],[Quantity]]*SalesData[[#This Row],[Unit Price]]*(1-SalesData[[#This Row],[Discount (%)]]/100)</calculatedColumnFormula>
    </tableColumn>
  </tableColumns>
  <tableStyleInfo name="TableStyleMedium9"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Circuit">
  <a:themeElements>
    <a:clrScheme name="Circuit">
      <a:dk1>
        <a:sysClr val="windowText" lastClr="000000"/>
      </a:dk1>
      <a:lt1>
        <a:sysClr val="window" lastClr="FFFFFF"/>
      </a:lt1>
      <a:dk2>
        <a:srgbClr val="134770"/>
      </a:dk2>
      <a:lt2>
        <a:srgbClr val="82FFFF"/>
      </a:lt2>
      <a:accent1>
        <a:srgbClr val="9ACD4C"/>
      </a:accent1>
      <a:accent2>
        <a:srgbClr val="FAA93A"/>
      </a:accent2>
      <a:accent3>
        <a:srgbClr val="D35940"/>
      </a:accent3>
      <a:accent4>
        <a:srgbClr val="B258D3"/>
      </a:accent4>
      <a:accent5>
        <a:srgbClr val="63A0CC"/>
      </a:accent5>
      <a:accent6>
        <a:srgbClr val="8AC4A7"/>
      </a:accent6>
      <a:hlink>
        <a:srgbClr val="B8FA56"/>
      </a:hlink>
      <a:folHlink>
        <a:srgbClr val="7AF8CC"/>
      </a:folHlink>
    </a:clrScheme>
    <a:fontScheme name="Circuit">
      <a:majorFont>
        <a:latin typeface="Tw Cen MT" panose="020B0602020104020603"/>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Tw Cen MT" panose="020B0602020104020603"/>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98000"/>
                <a:hueMod val="94000"/>
                <a:satMod val="148000"/>
                <a:lumMod val="150000"/>
              </a:schemeClr>
            </a:gs>
            <a:gs pos="100000">
              <a:schemeClr val="phClr">
                <a:shade val="92000"/>
                <a:hueMod val="104000"/>
                <a:satMod val="140000"/>
                <a:lumMod val="68000"/>
              </a:schemeClr>
            </a:gs>
          </a:gsLst>
          <a:lin ang="5040000" scaled="0"/>
        </a:gradFill>
        <a:blipFill>
          <a:blip xmlns:r="http://schemas.openxmlformats.org/officeDocument/2006/relationships" r:embed="rId1">
            <a:duotone>
              <a:schemeClr val="phClr">
                <a:shade val="88000"/>
                <a:hueMod val="106000"/>
                <a:satMod val="140000"/>
                <a:lumMod val="54000"/>
              </a:schemeClr>
              <a:schemeClr val="phClr">
                <a:tint val="98000"/>
                <a:hueMod val="90000"/>
                <a:satMod val="150000"/>
                <a:lumMod val="160000"/>
              </a:schemeClr>
            </a:duotone>
          </a:blip>
          <a:stretch/>
        </a:blipFill>
      </a:bgFillStyleLst>
    </a:fmtScheme>
  </a:themeElements>
  <a:objectDefaults/>
  <a:extraClrSchemeLst/>
  <a:extLst>
    <a:ext uri="{05A4C25C-085E-4340-85A3-A5531E510DB2}">
      <thm15:themeFamily xmlns:thm15="http://schemas.microsoft.com/office/thememl/2012/main" name="Circuit" id="{0AC2F7E7-15F5-431C-B2A2-456FE929F56C}" vid="{0911B802-464C-4241-8DD9-B60FF88E379F}"/>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501"/>
  <sheetViews>
    <sheetView topLeftCell="G1" workbookViewId="0">
      <selection activeCell="E22" sqref="A2:K501"/>
    </sheetView>
  </sheetViews>
  <sheetFormatPr defaultRowHeight="14" x14ac:dyDescent="0.3"/>
  <cols>
    <col min="1" max="1" width="22.58203125" style="1" customWidth="1"/>
    <col min="2" max="2" width="18" style="1" customWidth="1"/>
    <col min="3" max="3" width="18.75" style="1" customWidth="1"/>
    <col min="4" max="4" width="16.5" style="1" customWidth="1"/>
    <col min="5" max="5" width="17.33203125" style="1" customWidth="1"/>
    <col min="6" max="6" width="19" style="1" customWidth="1"/>
    <col min="7" max="7" width="15.1640625" style="1" customWidth="1"/>
    <col min="8" max="8" width="14" style="2" customWidth="1"/>
    <col min="9" max="9" width="16" style="1" customWidth="1"/>
    <col min="10" max="10" width="15.1640625" style="1" customWidth="1"/>
    <col min="11" max="11" width="17.25" style="2" customWidth="1"/>
    <col min="12" max="13" width="8.6640625" style="1"/>
    <col min="14" max="14" width="8.6640625" style="1" customWidth="1"/>
    <col min="15" max="15" width="22.1640625" style="1" customWidth="1"/>
    <col min="16" max="16" width="13.1640625" style="1" customWidth="1"/>
    <col min="17" max="17" width="16.75" style="1" customWidth="1"/>
    <col min="18" max="18" width="21.6640625" style="1" customWidth="1"/>
    <col min="19" max="19" width="13.25" style="1" customWidth="1"/>
    <col min="20" max="16384" width="8.6640625" style="1"/>
  </cols>
  <sheetData>
    <row r="1" spans="1:20" x14ac:dyDescent="0.3">
      <c r="A1" s="1" t="s">
        <v>0</v>
      </c>
      <c r="B1" s="1" t="s">
        <v>1</v>
      </c>
      <c r="C1" s="1" t="s">
        <v>2</v>
      </c>
      <c r="D1" s="1" t="s">
        <v>3</v>
      </c>
      <c r="E1" s="1" t="s">
        <v>4</v>
      </c>
      <c r="F1" s="1" t="s">
        <v>5</v>
      </c>
      <c r="G1" s="1" t="s">
        <v>6</v>
      </c>
      <c r="H1" s="2" t="s">
        <v>7</v>
      </c>
      <c r="I1" s="1" t="s">
        <v>8</v>
      </c>
      <c r="J1" s="1" t="s">
        <v>9</v>
      </c>
      <c r="K1" s="2" t="s">
        <v>617</v>
      </c>
    </row>
    <row r="2" spans="1:20" x14ac:dyDescent="0.3">
      <c r="A2" s="6">
        <v>46222</v>
      </c>
      <c r="B2" s="1" t="s">
        <v>10</v>
      </c>
      <c r="C2" s="1" t="s">
        <v>11</v>
      </c>
      <c r="D2" s="1" t="s">
        <v>12</v>
      </c>
      <c r="E2" s="1" t="s">
        <v>13</v>
      </c>
      <c r="F2" s="1" t="s">
        <v>14</v>
      </c>
      <c r="G2" s="1">
        <v>2</v>
      </c>
      <c r="H2" s="2">
        <v>406.33</v>
      </c>
      <c r="I2" s="1">
        <v>15</v>
      </c>
      <c r="J2" s="1" t="s">
        <v>15</v>
      </c>
      <c r="K2" s="2">
        <f>SalesData[[#This Row],[Quantity]]*SalesData[[#This Row],[Unit Price]]*(1-SalesData[[#This Row],[Discount (%)]]/100)</f>
        <v>690.76099999999997</v>
      </c>
      <c r="O2" s="1" t="s">
        <v>618</v>
      </c>
    </row>
    <row r="3" spans="1:20" x14ac:dyDescent="0.3">
      <c r="A3" s="6">
        <v>46079</v>
      </c>
      <c r="B3" s="1" t="s">
        <v>16</v>
      </c>
      <c r="C3" s="1" t="s">
        <v>17</v>
      </c>
      <c r="D3" s="1" t="s">
        <v>18</v>
      </c>
      <c r="E3" s="1" t="s">
        <v>13</v>
      </c>
      <c r="F3" s="1" t="s">
        <v>19</v>
      </c>
      <c r="G3" s="1">
        <v>2</v>
      </c>
      <c r="H3" s="2">
        <v>223.08</v>
      </c>
      <c r="I3" s="1">
        <v>5</v>
      </c>
      <c r="J3" s="1" t="s">
        <v>20</v>
      </c>
      <c r="K3" s="2">
        <f>SalesData[[#This Row],[Quantity]]*SalesData[[#This Row],[Unit Price]]*(1-SalesData[[#This Row],[Discount (%)]]/100)</f>
        <v>423.85200000000003</v>
      </c>
      <c r="O3" s="1" t="s">
        <v>619</v>
      </c>
      <c r="P3" s="2">
        <f>SUM(SalesData[SalesAmount])</f>
        <v>1594067.6490000004</v>
      </c>
      <c r="R3" s="1" t="s">
        <v>626</v>
      </c>
      <c r="S3" s="1" t="s">
        <v>12</v>
      </c>
      <c r="T3" s="2">
        <f>AVERAGEIF(SalesData[Region],"North",SalesData[SalesAmount])</f>
        <v>3200.1668021582732</v>
      </c>
    </row>
    <row r="4" spans="1:20" x14ac:dyDescent="0.3">
      <c r="A4" s="6">
        <v>46102</v>
      </c>
      <c r="B4" s="1" t="s">
        <v>21</v>
      </c>
      <c r="C4" s="1" t="s">
        <v>22</v>
      </c>
      <c r="D4" s="1" t="s">
        <v>23</v>
      </c>
      <c r="E4" s="1" t="s">
        <v>24</v>
      </c>
      <c r="F4" s="1" t="s">
        <v>25</v>
      </c>
      <c r="G4" s="1">
        <v>10</v>
      </c>
      <c r="H4" s="2">
        <v>569.66999999999996</v>
      </c>
      <c r="I4" s="1">
        <v>0</v>
      </c>
      <c r="J4" s="1" t="s">
        <v>26</v>
      </c>
      <c r="K4" s="2">
        <f>SalesData[[#This Row],[Quantity]]*SalesData[[#This Row],[Unit Price]]*(1-SalesData[[#This Row],[Discount (%)]]/100)</f>
        <v>5696.7</v>
      </c>
      <c r="O4" s="1" t="s">
        <v>620</v>
      </c>
      <c r="P4" s="1">
        <f>COUNTA(SalesData[Order ID])</f>
        <v>500</v>
      </c>
      <c r="S4" s="1" t="s">
        <v>23</v>
      </c>
      <c r="T4" s="2">
        <f>AVERAGEIF(SalesData[Region],"west",SalesData[SalesAmount])</f>
        <v>3144.9577170542639</v>
      </c>
    </row>
    <row r="5" spans="1:20" x14ac:dyDescent="0.3">
      <c r="A5" s="6">
        <v>46112</v>
      </c>
      <c r="B5" s="1" t="s">
        <v>27</v>
      </c>
      <c r="C5" s="1" t="s">
        <v>28</v>
      </c>
      <c r="D5" s="1" t="s">
        <v>12</v>
      </c>
      <c r="E5" s="1" t="s">
        <v>29</v>
      </c>
      <c r="F5" s="1" t="s">
        <v>30</v>
      </c>
      <c r="G5" s="1">
        <v>1</v>
      </c>
      <c r="H5" s="2">
        <v>1145.42</v>
      </c>
      <c r="I5" s="1">
        <v>0</v>
      </c>
      <c r="J5" s="1" t="s">
        <v>15</v>
      </c>
      <c r="K5" s="2">
        <f>SalesData[[#This Row],[Quantity]]*SalesData[[#This Row],[Unit Price]]*(1-SalesData[[#This Row],[Discount (%)]]/100)</f>
        <v>1145.42</v>
      </c>
      <c r="O5" s="1" t="s">
        <v>621</v>
      </c>
      <c r="P5" s="1">
        <f>SUM(SalesData[Quantity])</f>
        <v>2851</v>
      </c>
      <c r="S5" s="1" t="s">
        <v>18</v>
      </c>
      <c r="T5" s="2">
        <f>AVERAGEIF(SalesData[Region],"East",SalesData[SalesAmount])</f>
        <v>3722.750961206897</v>
      </c>
    </row>
    <row r="6" spans="1:20" x14ac:dyDescent="0.3">
      <c r="A6" s="6">
        <v>46099</v>
      </c>
      <c r="B6" s="1" t="s">
        <v>31</v>
      </c>
      <c r="C6" s="1" t="s">
        <v>32</v>
      </c>
      <c r="D6" s="1" t="s">
        <v>23</v>
      </c>
      <c r="E6" s="1" t="s">
        <v>24</v>
      </c>
      <c r="F6" s="1" t="s">
        <v>25</v>
      </c>
      <c r="G6" s="1">
        <v>8</v>
      </c>
      <c r="H6" s="2">
        <v>683.28</v>
      </c>
      <c r="I6" s="1">
        <v>5</v>
      </c>
      <c r="J6" s="1" t="s">
        <v>15</v>
      </c>
      <c r="K6" s="2">
        <f>SalesData[[#This Row],[Quantity]]*SalesData[[#This Row],[Unit Price]]*(1-SalesData[[#This Row],[Discount (%)]]/100)</f>
        <v>5192.9279999999999</v>
      </c>
      <c r="O6" s="1" t="s">
        <v>622</v>
      </c>
      <c r="P6" s="2">
        <f>AVERAGE(SalesData[SalesAmount])</f>
        <v>3188.1352980000011</v>
      </c>
      <c r="S6" s="1" t="s">
        <v>35</v>
      </c>
      <c r="T6" s="2">
        <f>AVERAGEIF(SalesData[Region],"south",SalesData[SalesAmount])</f>
        <v>2687.1190215517258</v>
      </c>
    </row>
    <row r="7" spans="1:20" x14ac:dyDescent="0.3">
      <c r="A7" s="6">
        <v>46192</v>
      </c>
      <c r="B7" s="1" t="s">
        <v>33</v>
      </c>
      <c r="C7" s="1" t="s">
        <v>34</v>
      </c>
      <c r="D7" s="1" t="s">
        <v>35</v>
      </c>
      <c r="E7" s="1" t="s">
        <v>24</v>
      </c>
      <c r="F7" s="1" t="s">
        <v>36</v>
      </c>
      <c r="G7" s="1">
        <v>8</v>
      </c>
      <c r="H7" s="2">
        <v>1146</v>
      </c>
      <c r="I7" s="1">
        <v>15</v>
      </c>
      <c r="J7" s="1" t="s">
        <v>20</v>
      </c>
      <c r="K7" s="2">
        <f>SalesData[[#This Row],[Quantity]]*SalesData[[#This Row],[Unit Price]]*(1-SalesData[[#This Row],[Discount (%)]]/100)</f>
        <v>7792.8</v>
      </c>
      <c r="O7" s="1" t="s">
        <v>634</v>
      </c>
      <c r="P7" s="2">
        <f>SUM(SalesData[Unit Price])</f>
        <v>296407.93000000011</v>
      </c>
    </row>
    <row r="8" spans="1:20" x14ac:dyDescent="0.3">
      <c r="A8" s="6">
        <v>46088</v>
      </c>
      <c r="B8" s="1" t="s">
        <v>37</v>
      </c>
      <c r="C8" s="1" t="s">
        <v>38</v>
      </c>
      <c r="D8" s="1" t="s">
        <v>35</v>
      </c>
      <c r="E8" s="1" t="s">
        <v>29</v>
      </c>
      <c r="F8" s="1" t="s">
        <v>39</v>
      </c>
      <c r="G8" s="1">
        <v>4</v>
      </c>
      <c r="H8" s="2">
        <v>510.82</v>
      </c>
      <c r="I8" s="1">
        <v>0</v>
      </c>
      <c r="J8" s="1" t="s">
        <v>40</v>
      </c>
      <c r="K8" s="2">
        <f>SalesData[[#This Row],[Quantity]]*SalesData[[#This Row],[Unit Price]]*(1-SalesData[[#This Row],[Discount (%)]]/100)</f>
        <v>2043.28</v>
      </c>
      <c r="O8" s="1" t="s">
        <v>638</v>
      </c>
      <c r="P8" s="2">
        <f>AVERAGE(SalesData[Unit Price])</f>
        <v>592.81586000000027</v>
      </c>
    </row>
    <row r="9" spans="1:20" x14ac:dyDescent="0.3">
      <c r="A9" s="6">
        <v>46054</v>
      </c>
      <c r="B9" s="1" t="s">
        <v>41</v>
      </c>
      <c r="C9" s="1" t="s">
        <v>42</v>
      </c>
      <c r="D9" s="1" t="s">
        <v>35</v>
      </c>
      <c r="E9" s="1" t="s">
        <v>24</v>
      </c>
      <c r="F9" s="1" t="s">
        <v>43</v>
      </c>
      <c r="G9" s="1">
        <v>10</v>
      </c>
      <c r="H9" s="2">
        <v>671.35</v>
      </c>
      <c r="I9" s="1">
        <v>10</v>
      </c>
      <c r="J9" s="1" t="s">
        <v>40</v>
      </c>
      <c r="K9" s="2">
        <f>SalesData[[#This Row],[Quantity]]*SalesData[[#This Row],[Unit Price]]*(1-SalesData[[#This Row],[Discount (%)]]/100)</f>
        <v>6042.1500000000005</v>
      </c>
    </row>
    <row r="10" spans="1:20" x14ac:dyDescent="0.3">
      <c r="A10" s="6">
        <v>46119</v>
      </c>
      <c r="B10" s="1" t="s">
        <v>44</v>
      </c>
      <c r="C10" s="1" t="s">
        <v>34</v>
      </c>
      <c r="D10" s="1" t="s">
        <v>18</v>
      </c>
      <c r="E10" s="1" t="s">
        <v>24</v>
      </c>
      <c r="F10" s="1" t="s">
        <v>43</v>
      </c>
      <c r="G10" s="1">
        <v>2</v>
      </c>
      <c r="H10" s="2">
        <v>975.92</v>
      </c>
      <c r="I10" s="1">
        <v>10</v>
      </c>
      <c r="J10" s="1" t="s">
        <v>15</v>
      </c>
      <c r="K10" s="2">
        <f>SalesData[[#This Row],[Quantity]]*SalesData[[#This Row],[Unit Price]]*(1-SalesData[[#This Row],[Discount (%)]]/100)</f>
        <v>1756.6559999999999</v>
      </c>
    </row>
    <row r="11" spans="1:20" x14ac:dyDescent="0.3">
      <c r="A11" s="6">
        <v>46201</v>
      </c>
      <c r="B11" s="1" t="s">
        <v>45</v>
      </c>
      <c r="C11" s="1" t="s">
        <v>17</v>
      </c>
      <c r="D11" s="1" t="s">
        <v>35</v>
      </c>
      <c r="E11" s="1" t="s">
        <v>13</v>
      </c>
      <c r="F11" s="1" t="s">
        <v>14</v>
      </c>
      <c r="G11" s="1">
        <v>5</v>
      </c>
      <c r="H11" s="2">
        <v>738.08</v>
      </c>
      <c r="I11" s="1">
        <v>5</v>
      </c>
      <c r="J11" s="1" t="s">
        <v>15</v>
      </c>
      <c r="K11" s="2">
        <f>SalesData[[#This Row],[Quantity]]*SalesData[[#This Row],[Unit Price]]*(1-SalesData[[#This Row],[Discount (%)]]/100)</f>
        <v>3505.88</v>
      </c>
    </row>
    <row r="12" spans="1:20" x14ac:dyDescent="0.3">
      <c r="A12" s="6">
        <v>46221</v>
      </c>
      <c r="B12" s="1" t="s">
        <v>46</v>
      </c>
      <c r="C12" s="1" t="s">
        <v>47</v>
      </c>
      <c r="D12" s="1" t="s">
        <v>35</v>
      </c>
      <c r="E12" s="1" t="s">
        <v>13</v>
      </c>
      <c r="F12" s="1" t="s">
        <v>19</v>
      </c>
      <c r="G12" s="1">
        <v>3</v>
      </c>
      <c r="H12" s="2">
        <v>1100.57</v>
      </c>
      <c r="I12" s="1">
        <v>5</v>
      </c>
      <c r="J12" s="1" t="s">
        <v>20</v>
      </c>
      <c r="K12" s="2">
        <f>SalesData[[#This Row],[Quantity]]*SalesData[[#This Row],[Unit Price]]*(1-SalesData[[#This Row],[Discount (%)]]/100)</f>
        <v>3136.6244999999999</v>
      </c>
    </row>
    <row r="13" spans="1:20" x14ac:dyDescent="0.3">
      <c r="A13" s="6">
        <v>46092</v>
      </c>
      <c r="B13" s="1" t="s">
        <v>48</v>
      </c>
      <c r="C13" s="1" t="s">
        <v>49</v>
      </c>
      <c r="D13" s="1" t="s">
        <v>35</v>
      </c>
      <c r="E13" s="1" t="s">
        <v>50</v>
      </c>
      <c r="F13" s="1" t="s">
        <v>51</v>
      </c>
      <c r="G13" s="1">
        <v>5</v>
      </c>
      <c r="H13" s="2">
        <v>652.66999999999996</v>
      </c>
      <c r="I13" s="1">
        <v>10</v>
      </c>
      <c r="J13" s="1" t="s">
        <v>40</v>
      </c>
      <c r="K13" s="2">
        <f>SalesData[[#This Row],[Quantity]]*SalesData[[#This Row],[Unit Price]]*(1-SalesData[[#This Row],[Discount (%)]]/100)</f>
        <v>2937.0149999999999</v>
      </c>
    </row>
    <row r="14" spans="1:20" x14ac:dyDescent="0.3">
      <c r="A14" s="6">
        <v>46128</v>
      </c>
      <c r="B14" s="1" t="s">
        <v>52</v>
      </c>
      <c r="C14" s="1" t="s">
        <v>53</v>
      </c>
      <c r="D14" s="1" t="s">
        <v>12</v>
      </c>
      <c r="E14" s="1" t="s">
        <v>29</v>
      </c>
      <c r="F14" s="1" t="s">
        <v>30</v>
      </c>
      <c r="G14" s="1">
        <v>9</v>
      </c>
      <c r="H14" s="2">
        <v>426.9</v>
      </c>
      <c r="I14" s="1">
        <v>0</v>
      </c>
      <c r="J14" s="1" t="s">
        <v>40</v>
      </c>
      <c r="K14" s="2">
        <f>SalesData[[#This Row],[Quantity]]*SalesData[[#This Row],[Unit Price]]*(1-SalesData[[#This Row],[Discount (%)]]/100)</f>
        <v>3842.1</v>
      </c>
    </row>
    <row r="15" spans="1:20" x14ac:dyDescent="0.3">
      <c r="A15" s="6">
        <v>46189</v>
      </c>
      <c r="B15" s="1" t="s">
        <v>54</v>
      </c>
      <c r="C15" s="1" t="s">
        <v>55</v>
      </c>
      <c r="D15" s="1" t="s">
        <v>12</v>
      </c>
      <c r="E15" s="1" t="s">
        <v>24</v>
      </c>
      <c r="F15" s="1" t="s">
        <v>43</v>
      </c>
      <c r="G15" s="1">
        <v>4</v>
      </c>
      <c r="H15" s="2">
        <v>325.31</v>
      </c>
      <c r="I15" s="1">
        <v>15</v>
      </c>
      <c r="J15" s="1" t="s">
        <v>15</v>
      </c>
      <c r="K15" s="2">
        <f>SalesData[[#This Row],[Quantity]]*SalesData[[#This Row],[Unit Price]]*(1-SalesData[[#This Row],[Discount (%)]]/100)</f>
        <v>1106.0540000000001</v>
      </c>
    </row>
    <row r="16" spans="1:20" x14ac:dyDescent="0.3">
      <c r="A16" s="6">
        <v>46073</v>
      </c>
      <c r="B16" s="1" t="s">
        <v>56</v>
      </c>
      <c r="C16" s="1" t="s">
        <v>57</v>
      </c>
      <c r="D16" s="1" t="s">
        <v>18</v>
      </c>
      <c r="E16" s="1" t="s">
        <v>50</v>
      </c>
      <c r="F16" s="1" t="s">
        <v>58</v>
      </c>
      <c r="G16" s="1">
        <v>8</v>
      </c>
      <c r="H16" s="2">
        <v>619.88</v>
      </c>
      <c r="I16" s="1">
        <v>15</v>
      </c>
      <c r="J16" s="1" t="s">
        <v>26</v>
      </c>
      <c r="K16" s="2">
        <f>SalesData[[#This Row],[Quantity]]*SalesData[[#This Row],[Unit Price]]*(1-SalesData[[#This Row],[Discount (%)]]/100)</f>
        <v>4215.1840000000002</v>
      </c>
    </row>
    <row r="17" spans="1:17" x14ac:dyDescent="0.3">
      <c r="A17" s="6">
        <v>46079</v>
      </c>
      <c r="B17" s="1" t="s">
        <v>59</v>
      </c>
      <c r="C17" s="1" t="s">
        <v>60</v>
      </c>
      <c r="D17" s="1" t="s">
        <v>35</v>
      </c>
      <c r="E17" s="1" t="s">
        <v>13</v>
      </c>
      <c r="F17" s="1" t="s">
        <v>61</v>
      </c>
      <c r="G17" s="1">
        <v>5</v>
      </c>
      <c r="H17" s="2">
        <v>812.2</v>
      </c>
      <c r="I17" s="1">
        <v>15</v>
      </c>
      <c r="J17" s="1" t="s">
        <v>15</v>
      </c>
      <c r="K17" s="2">
        <f>SalesData[[#This Row],[Quantity]]*SalesData[[#This Row],[Unit Price]]*(1-SalesData[[#This Row],[Discount (%)]]/100)</f>
        <v>3451.85</v>
      </c>
    </row>
    <row r="18" spans="1:17" x14ac:dyDescent="0.3">
      <c r="A18" s="6">
        <v>46052</v>
      </c>
      <c r="B18" s="1" t="s">
        <v>62</v>
      </c>
      <c r="C18" s="1" t="s">
        <v>53</v>
      </c>
      <c r="D18" s="1" t="s">
        <v>23</v>
      </c>
      <c r="E18" s="1" t="s">
        <v>50</v>
      </c>
      <c r="F18" s="1" t="s">
        <v>63</v>
      </c>
      <c r="G18" s="1">
        <v>9</v>
      </c>
      <c r="H18" s="2">
        <v>1053.95</v>
      </c>
      <c r="I18" s="1">
        <v>0</v>
      </c>
      <c r="J18" s="1" t="s">
        <v>20</v>
      </c>
      <c r="K18" s="2">
        <f>SalesData[[#This Row],[Quantity]]*SalesData[[#This Row],[Unit Price]]*(1-SalesData[[#This Row],[Discount (%)]]/100)</f>
        <v>9485.5500000000011</v>
      </c>
    </row>
    <row r="19" spans="1:17" x14ac:dyDescent="0.3">
      <c r="A19" s="6">
        <v>46220</v>
      </c>
      <c r="B19" s="1" t="s">
        <v>64</v>
      </c>
      <c r="C19" s="1" t="s">
        <v>55</v>
      </c>
      <c r="D19" s="1" t="s">
        <v>18</v>
      </c>
      <c r="E19" s="1" t="s">
        <v>29</v>
      </c>
      <c r="F19" s="1" t="s">
        <v>65</v>
      </c>
      <c r="G19" s="1">
        <v>9</v>
      </c>
      <c r="H19" s="2">
        <v>661.64</v>
      </c>
      <c r="I19" s="1">
        <v>0</v>
      </c>
      <c r="J19" s="1" t="s">
        <v>20</v>
      </c>
      <c r="K19" s="2">
        <f>SalesData[[#This Row],[Quantity]]*SalesData[[#This Row],[Unit Price]]*(1-SalesData[[#This Row],[Discount (%)]]/100)</f>
        <v>5954.76</v>
      </c>
      <c r="O19" s="1" t="s">
        <v>635</v>
      </c>
      <c r="P19" s="1" t="s">
        <v>26</v>
      </c>
    </row>
    <row r="20" spans="1:17" x14ac:dyDescent="0.3">
      <c r="A20" s="6">
        <v>46055</v>
      </c>
      <c r="B20" s="1" t="s">
        <v>66</v>
      </c>
      <c r="C20" s="1" t="s">
        <v>67</v>
      </c>
      <c r="D20" s="1" t="s">
        <v>35</v>
      </c>
      <c r="E20" s="1" t="s">
        <v>50</v>
      </c>
      <c r="F20" s="1" t="s">
        <v>58</v>
      </c>
      <c r="G20" s="1">
        <v>5</v>
      </c>
      <c r="H20" s="2">
        <v>513.52</v>
      </c>
      <c r="I20" s="1">
        <v>0</v>
      </c>
      <c r="J20" s="1" t="s">
        <v>20</v>
      </c>
      <c r="K20" s="2">
        <f>SalesData[[#This Row],[Quantity]]*SalesData[[#This Row],[Unit Price]]*(1-SalesData[[#This Row],[Discount (%)]]/100)</f>
        <v>2567.6</v>
      </c>
      <c r="O20" s="1" t="s">
        <v>636</v>
      </c>
      <c r="P20" s="1" t="s">
        <v>12</v>
      </c>
    </row>
    <row r="21" spans="1:17" x14ac:dyDescent="0.3">
      <c r="A21" s="6">
        <v>46047</v>
      </c>
      <c r="B21" s="1" t="s">
        <v>68</v>
      </c>
      <c r="C21" s="1" t="s">
        <v>69</v>
      </c>
      <c r="D21" s="1" t="s">
        <v>23</v>
      </c>
      <c r="E21" s="1" t="s">
        <v>13</v>
      </c>
      <c r="F21" s="1" t="s">
        <v>19</v>
      </c>
      <c r="G21" s="1">
        <v>4</v>
      </c>
      <c r="H21" s="2">
        <v>391.3</v>
      </c>
      <c r="I21" s="1">
        <v>5</v>
      </c>
      <c r="J21" s="1" t="s">
        <v>15</v>
      </c>
      <c r="K21" s="2">
        <f>SalesData[[#This Row],[Quantity]]*SalesData[[#This Row],[Unit Price]]*(1-SalesData[[#This Row],[Discount (%)]]/100)</f>
        <v>1486.94</v>
      </c>
    </row>
    <row r="22" spans="1:17" x14ac:dyDescent="0.3">
      <c r="A22" s="6">
        <v>46175</v>
      </c>
      <c r="B22" s="1" t="s">
        <v>70</v>
      </c>
      <c r="C22" s="1" t="s">
        <v>71</v>
      </c>
      <c r="D22" s="1" t="s">
        <v>18</v>
      </c>
      <c r="E22" s="1" t="s">
        <v>50</v>
      </c>
      <c r="F22" s="1" t="s">
        <v>72</v>
      </c>
      <c r="G22" s="1">
        <v>9</v>
      </c>
      <c r="H22" s="2">
        <v>201.61</v>
      </c>
      <c r="I22" s="1">
        <v>10</v>
      </c>
      <c r="J22" s="1" t="s">
        <v>26</v>
      </c>
      <c r="K22" s="2">
        <f>SalesData[[#This Row],[Quantity]]*SalesData[[#This Row],[Unit Price]]*(1-SalesData[[#This Row],[Discount (%)]]/100)</f>
        <v>1633.0410000000002</v>
      </c>
    </row>
    <row r="23" spans="1:17" x14ac:dyDescent="0.3">
      <c r="A23" s="6">
        <v>46151</v>
      </c>
      <c r="B23" s="1" t="s">
        <v>73</v>
      </c>
      <c r="C23" s="1" t="s">
        <v>11</v>
      </c>
      <c r="D23" s="1" t="s">
        <v>35</v>
      </c>
      <c r="E23" s="1" t="s">
        <v>24</v>
      </c>
      <c r="F23" s="1" t="s">
        <v>25</v>
      </c>
      <c r="G23" s="1">
        <v>7</v>
      </c>
      <c r="H23" s="2">
        <v>522.54</v>
      </c>
      <c r="I23" s="1">
        <v>10</v>
      </c>
      <c r="J23" s="1" t="s">
        <v>20</v>
      </c>
      <c r="K23" s="2">
        <f>SalesData[[#This Row],[Quantity]]*SalesData[[#This Row],[Unit Price]]*(1-SalesData[[#This Row],[Discount (%)]]/100)</f>
        <v>3292.002</v>
      </c>
    </row>
    <row r="24" spans="1:17" x14ac:dyDescent="0.3">
      <c r="A24" s="6">
        <v>46141</v>
      </c>
      <c r="B24" s="1" t="s">
        <v>74</v>
      </c>
      <c r="C24" s="1" t="s">
        <v>75</v>
      </c>
      <c r="D24" s="1" t="s">
        <v>12</v>
      </c>
      <c r="E24" s="1" t="s">
        <v>13</v>
      </c>
      <c r="F24" s="1" t="s">
        <v>61</v>
      </c>
      <c r="G24" s="1">
        <v>8</v>
      </c>
      <c r="H24" s="2">
        <v>155.5</v>
      </c>
      <c r="I24" s="1">
        <v>5</v>
      </c>
      <c r="J24" s="1" t="s">
        <v>76</v>
      </c>
      <c r="K24" s="2">
        <f>SalesData[[#This Row],[Quantity]]*SalesData[[#This Row],[Unit Price]]*(1-SalesData[[#This Row],[Discount (%)]]/100)</f>
        <v>1181.8</v>
      </c>
      <c r="Q24" s="2"/>
    </row>
    <row r="25" spans="1:17" x14ac:dyDescent="0.3">
      <c r="A25" s="6">
        <v>46050</v>
      </c>
      <c r="B25" s="1" t="s">
        <v>77</v>
      </c>
      <c r="C25" s="1" t="s">
        <v>78</v>
      </c>
      <c r="D25" s="1" t="s">
        <v>35</v>
      </c>
      <c r="E25" s="1" t="s">
        <v>50</v>
      </c>
      <c r="F25" s="1" t="s">
        <v>58</v>
      </c>
      <c r="G25" s="1">
        <v>6</v>
      </c>
      <c r="H25" s="2">
        <v>484.42</v>
      </c>
      <c r="I25" s="1">
        <v>0</v>
      </c>
      <c r="J25" s="1" t="s">
        <v>26</v>
      </c>
      <c r="K25" s="2">
        <f>SalesData[[#This Row],[Quantity]]*SalesData[[#This Row],[Unit Price]]*(1-SalesData[[#This Row],[Discount (%)]]/100)</f>
        <v>2906.52</v>
      </c>
    </row>
    <row r="26" spans="1:17" x14ac:dyDescent="0.3">
      <c r="A26" s="6">
        <v>46032</v>
      </c>
      <c r="B26" s="1" t="s">
        <v>79</v>
      </c>
      <c r="C26" s="1" t="s">
        <v>80</v>
      </c>
      <c r="D26" s="1" t="s">
        <v>18</v>
      </c>
      <c r="E26" s="1" t="s">
        <v>29</v>
      </c>
      <c r="F26" s="1" t="s">
        <v>39</v>
      </c>
      <c r="G26" s="1">
        <v>7</v>
      </c>
      <c r="H26" s="2">
        <v>300.05</v>
      </c>
      <c r="I26" s="1">
        <v>10</v>
      </c>
      <c r="J26" s="1" t="s">
        <v>26</v>
      </c>
      <c r="K26" s="2">
        <f>SalesData[[#This Row],[Quantity]]*SalesData[[#This Row],[Unit Price]]*(1-SalesData[[#This Row],[Discount (%)]]/100)</f>
        <v>1890.3150000000001</v>
      </c>
    </row>
    <row r="27" spans="1:17" x14ac:dyDescent="0.3">
      <c r="A27" s="6">
        <v>46200</v>
      </c>
      <c r="B27" s="1" t="s">
        <v>81</v>
      </c>
      <c r="C27" s="1" t="s">
        <v>82</v>
      </c>
      <c r="D27" s="1" t="s">
        <v>12</v>
      </c>
      <c r="E27" s="1" t="s">
        <v>24</v>
      </c>
      <c r="F27" s="1" t="s">
        <v>25</v>
      </c>
      <c r="G27" s="1">
        <v>6</v>
      </c>
      <c r="H27" s="2">
        <v>824.26</v>
      </c>
      <c r="I27" s="1">
        <v>15</v>
      </c>
      <c r="J27" s="1" t="s">
        <v>83</v>
      </c>
      <c r="K27" s="2">
        <f>SalesData[[#This Row],[Quantity]]*SalesData[[#This Row],[Unit Price]]*(1-SalesData[[#This Row],[Discount (%)]]/100)</f>
        <v>4203.7259999999997</v>
      </c>
    </row>
    <row r="28" spans="1:17" x14ac:dyDescent="0.3">
      <c r="A28" s="6">
        <v>46123</v>
      </c>
      <c r="B28" s="1" t="s">
        <v>84</v>
      </c>
      <c r="C28" s="1" t="s">
        <v>17</v>
      </c>
      <c r="D28" s="1" t="s">
        <v>18</v>
      </c>
      <c r="E28" s="1" t="s">
        <v>29</v>
      </c>
      <c r="F28" s="1" t="s">
        <v>30</v>
      </c>
      <c r="G28" s="1">
        <v>3</v>
      </c>
      <c r="H28" s="2">
        <v>670.14</v>
      </c>
      <c r="I28" s="1">
        <v>5</v>
      </c>
      <c r="J28" s="1" t="s">
        <v>40</v>
      </c>
      <c r="K28" s="2">
        <f>SalesData[[#This Row],[Quantity]]*SalesData[[#This Row],[Unit Price]]*(1-SalesData[[#This Row],[Discount (%)]]/100)</f>
        <v>1909.8989999999999</v>
      </c>
    </row>
    <row r="29" spans="1:17" x14ac:dyDescent="0.3">
      <c r="A29" s="6">
        <v>46175</v>
      </c>
      <c r="B29" s="1" t="s">
        <v>85</v>
      </c>
      <c r="C29" s="1" t="s">
        <v>86</v>
      </c>
      <c r="D29" s="1" t="s">
        <v>12</v>
      </c>
      <c r="E29" s="1" t="s">
        <v>29</v>
      </c>
      <c r="F29" s="1" t="s">
        <v>65</v>
      </c>
      <c r="G29" s="1">
        <v>2</v>
      </c>
      <c r="H29" s="2">
        <v>151.74</v>
      </c>
      <c r="I29" s="1">
        <v>0</v>
      </c>
      <c r="J29" s="1" t="s">
        <v>40</v>
      </c>
      <c r="K29" s="2">
        <f>SalesData[[#This Row],[Quantity]]*SalesData[[#This Row],[Unit Price]]*(1-SalesData[[#This Row],[Discount (%)]]/100)</f>
        <v>303.48</v>
      </c>
    </row>
    <row r="30" spans="1:17" x14ac:dyDescent="0.3">
      <c r="A30" s="6">
        <v>46105</v>
      </c>
      <c r="B30" s="1" t="s">
        <v>87</v>
      </c>
      <c r="C30" s="1" t="s">
        <v>60</v>
      </c>
      <c r="D30" s="1" t="s">
        <v>18</v>
      </c>
      <c r="E30" s="1" t="s">
        <v>13</v>
      </c>
      <c r="F30" s="1" t="s">
        <v>61</v>
      </c>
      <c r="G30" s="1">
        <v>1</v>
      </c>
      <c r="H30" s="2">
        <v>652.22</v>
      </c>
      <c r="I30" s="1">
        <v>0</v>
      </c>
      <c r="J30" s="1" t="s">
        <v>83</v>
      </c>
      <c r="K30" s="2">
        <f>SalesData[[#This Row],[Quantity]]*SalesData[[#This Row],[Unit Price]]*(1-SalesData[[#This Row],[Discount (%)]]/100)</f>
        <v>652.22</v>
      </c>
    </row>
    <row r="31" spans="1:17" x14ac:dyDescent="0.3">
      <c r="A31" s="6">
        <v>46034</v>
      </c>
      <c r="B31" s="1" t="s">
        <v>88</v>
      </c>
      <c r="C31" s="1" t="s">
        <v>89</v>
      </c>
      <c r="D31" s="1" t="s">
        <v>12</v>
      </c>
      <c r="E31" s="1" t="s">
        <v>29</v>
      </c>
      <c r="F31" s="1" t="s">
        <v>39</v>
      </c>
      <c r="G31" s="1">
        <v>2</v>
      </c>
      <c r="H31" s="2">
        <v>951.04</v>
      </c>
      <c r="I31" s="1">
        <v>0</v>
      </c>
      <c r="J31" s="1" t="s">
        <v>40</v>
      </c>
      <c r="K31" s="2">
        <f>SalesData[[#This Row],[Quantity]]*SalesData[[#This Row],[Unit Price]]*(1-SalesData[[#This Row],[Discount (%)]]/100)</f>
        <v>1902.08</v>
      </c>
    </row>
    <row r="32" spans="1:17" x14ac:dyDescent="0.3">
      <c r="A32" s="6">
        <v>46060</v>
      </c>
      <c r="B32" s="1" t="s">
        <v>90</v>
      </c>
      <c r="C32" s="1" t="s">
        <v>11</v>
      </c>
      <c r="D32" s="1" t="s">
        <v>35</v>
      </c>
      <c r="E32" s="1" t="s">
        <v>24</v>
      </c>
      <c r="F32" s="1" t="s">
        <v>43</v>
      </c>
      <c r="G32" s="1">
        <v>7</v>
      </c>
      <c r="H32" s="2">
        <v>623.26</v>
      </c>
      <c r="I32" s="1">
        <v>5</v>
      </c>
      <c r="J32" s="1" t="s">
        <v>40</v>
      </c>
      <c r="K32" s="2">
        <f>SalesData[[#This Row],[Quantity]]*SalesData[[#This Row],[Unit Price]]*(1-SalesData[[#This Row],[Discount (%)]]/100)</f>
        <v>4144.6789999999992</v>
      </c>
    </row>
    <row r="33" spans="1:11" x14ac:dyDescent="0.3">
      <c r="A33" s="6">
        <v>46232</v>
      </c>
      <c r="B33" s="1" t="s">
        <v>91</v>
      </c>
      <c r="C33" s="1" t="s">
        <v>49</v>
      </c>
      <c r="D33" s="1" t="s">
        <v>23</v>
      </c>
      <c r="E33" s="1" t="s">
        <v>29</v>
      </c>
      <c r="F33" s="1" t="s">
        <v>39</v>
      </c>
      <c r="G33" s="1">
        <v>8</v>
      </c>
      <c r="H33" s="2">
        <v>344.44</v>
      </c>
      <c r="I33" s="1">
        <v>5</v>
      </c>
      <c r="J33" s="1" t="s">
        <v>40</v>
      </c>
      <c r="K33" s="2">
        <f>SalesData[[#This Row],[Quantity]]*SalesData[[#This Row],[Unit Price]]*(1-SalesData[[#This Row],[Discount (%)]]/100)</f>
        <v>2617.7439999999997</v>
      </c>
    </row>
    <row r="34" spans="1:11" x14ac:dyDescent="0.3">
      <c r="A34" s="6">
        <v>46191</v>
      </c>
      <c r="B34" s="1" t="s">
        <v>92</v>
      </c>
      <c r="C34" s="1" t="s">
        <v>93</v>
      </c>
      <c r="D34" s="1" t="s">
        <v>12</v>
      </c>
      <c r="E34" s="1" t="s">
        <v>13</v>
      </c>
      <c r="F34" s="1" t="s">
        <v>14</v>
      </c>
      <c r="G34" s="1">
        <v>9</v>
      </c>
      <c r="H34" s="2">
        <v>1193.76</v>
      </c>
      <c r="I34" s="1">
        <v>0</v>
      </c>
      <c r="J34" s="1" t="s">
        <v>76</v>
      </c>
      <c r="K34" s="2">
        <f>SalesData[[#This Row],[Quantity]]*SalesData[[#This Row],[Unit Price]]*(1-SalesData[[#This Row],[Discount (%)]]/100)</f>
        <v>10743.84</v>
      </c>
    </row>
    <row r="35" spans="1:11" x14ac:dyDescent="0.3">
      <c r="A35" s="6">
        <v>46137</v>
      </c>
      <c r="B35" s="1" t="s">
        <v>94</v>
      </c>
      <c r="C35" s="1" t="s">
        <v>49</v>
      </c>
      <c r="D35" s="1" t="s">
        <v>23</v>
      </c>
      <c r="E35" s="1" t="s">
        <v>13</v>
      </c>
      <c r="F35" s="1" t="s">
        <v>14</v>
      </c>
      <c r="G35" s="1">
        <v>5</v>
      </c>
      <c r="H35" s="2">
        <v>242.87</v>
      </c>
      <c r="I35" s="1">
        <v>15</v>
      </c>
      <c r="J35" s="1" t="s">
        <v>15</v>
      </c>
      <c r="K35" s="2">
        <f>SalesData[[#This Row],[Quantity]]*SalesData[[#This Row],[Unit Price]]*(1-SalesData[[#This Row],[Discount (%)]]/100)</f>
        <v>1032.1975</v>
      </c>
    </row>
    <row r="36" spans="1:11" x14ac:dyDescent="0.3">
      <c r="A36" s="6">
        <v>46219</v>
      </c>
      <c r="B36" s="1" t="s">
        <v>95</v>
      </c>
      <c r="C36" s="1" t="s">
        <v>96</v>
      </c>
      <c r="D36" s="1" t="s">
        <v>12</v>
      </c>
      <c r="E36" s="1" t="s">
        <v>50</v>
      </c>
      <c r="F36" s="1" t="s">
        <v>58</v>
      </c>
      <c r="G36" s="1">
        <v>8</v>
      </c>
      <c r="H36" s="2">
        <v>417.13</v>
      </c>
      <c r="I36" s="1">
        <v>15</v>
      </c>
      <c r="J36" s="1" t="s">
        <v>26</v>
      </c>
      <c r="K36" s="2">
        <f>SalesData[[#This Row],[Quantity]]*SalesData[[#This Row],[Unit Price]]*(1-SalesData[[#This Row],[Discount (%)]]/100)</f>
        <v>2836.4839999999999</v>
      </c>
    </row>
    <row r="37" spans="1:11" x14ac:dyDescent="0.3">
      <c r="A37" s="6">
        <v>46072</v>
      </c>
      <c r="B37" s="1" t="s">
        <v>97</v>
      </c>
      <c r="C37" s="1" t="s">
        <v>98</v>
      </c>
      <c r="D37" s="1" t="s">
        <v>18</v>
      </c>
      <c r="E37" s="1" t="s">
        <v>29</v>
      </c>
      <c r="F37" s="1" t="s">
        <v>39</v>
      </c>
      <c r="G37" s="1">
        <v>10</v>
      </c>
      <c r="H37" s="2">
        <v>34.159999999999997</v>
      </c>
      <c r="I37" s="1">
        <v>15</v>
      </c>
      <c r="J37" s="1" t="s">
        <v>20</v>
      </c>
      <c r="K37" s="2">
        <f>SalesData[[#This Row],[Quantity]]*SalesData[[#This Row],[Unit Price]]*(1-SalesData[[#This Row],[Discount (%)]]/100)</f>
        <v>290.35999999999996</v>
      </c>
    </row>
    <row r="38" spans="1:11" x14ac:dyDescent="0.3">
      <c r="A38" s="6">
        <v>46087</v>
      </c>
      <c r="B38" s="1" t="s">
        <v>99</v>
      </c>
      <c r="C38" s="1" t="s">
        <v>100</v>
      </c>
      <c r="D38" s="1" t="s">
        <v>18</v>
      </c>
      <c r="E38" s="1" t="s">
        <v>50</v>
      </c>
      <c r="F38" s="1" t="s">
        <v>51</v>
      </c>
      <c r="G38" s="1">
        <v>8</v>
      </c>
      <c r="H38" s="2">
        <v>208.45</v>
      </c>
      <c r="I38" s="1">
        <v>5</v>
      </c>
      <c r="J38" s="1" t="s">
        <v>76</v>
      </c>
      <c r="K38" s="2">
        <f>SalesData[[#This Row],[Quantity]]*SalesData[[#This Row],[Unit Price]]*(1-SalesData[[#This Row],[Discount (%)]]/100)</f>
        <v>1584.2199999999998</v>
      </c>
    </row>
    <row r="39" spans="1:11" x14ac:dyDescent="0.3">
      <c r="A39" s="6">
        <v>46110</v>
      </c>
      <c r="B39" s="1" t="s">
        <v>101</v>
      </c>
      <c r="C39" s="1" t="s">
        <v>42</v>
      </c>
      <c r="D39" s="1" t="s">
        <v>23</v>
      </c>
      <c r="E39" s="1" t="s">
        <v>50</v>
      </c>
      <c r="F39" s="1" t="s">
        <v>51</v>
      </c>
      <c r="G39" s="1">
        <v>8</v>
      </c>
      <c r="H39" s="2">
        <v>1118.33</v>
      </c>
      <c r="I39" s="1">
        <v>0</v>
      </c>
      <c r="J39" s="1" t="s">
        <v>20</v>
      </c>
      <c r="K39" s="2">
        <f>SalesData[[#This Row],[Quantity]]*SalesData[[#This Row],[Unit Price]]*(1-SalesData[[#This Row],[Discount (%)]]/100)</f>
        <v>8946.64</v>
      </c>
    </row>
    <row r="40" spans="1:11" x14ac:dyDescent="0.3">
      <c r="A40" s="6">
        <v>46156</v>
      </c>
      <c r="B40" s="1" t="s">
        <v>102</v>
      </c>
      <c r="C40" s="1" t="s">
        <v>22</v>
      </c>
      <c r="D40" s="1" t="s">
        <v>12</v>
      </c>
      <c r="E40" s="1" t="s">
        <v>24</v>
      </c>
      <c r="F40" s="1" t="s">
        <v>36</v>
      </c>
      <c r="G40" s="1">
        <v>9</v>
      </c>
      <c r="H40" s="2">
        <v>659.81</v>
      </c>
      <c r="I40" s="1">
        <v>10</v>
      </c>
      <c r="J40" s="1" t="s">
        <v>83</v>
      </c>
      <c r="K40" s="2">
        <f>SalesData[[#This Row],[Quantity]]*SalesData[[#This Row],[Unit Price]]*(1-SalesData[[#This Row],[Discount (%)]]/100)</f>
        <v>5344.4609999999993</v>
      </c>
    </row>
    <row r="41" spans="1:11" x14ac:dyDescent="0.3">
      <c r="A41" s="6">
        <v>46030</v>
      </c>
      <c r="B41" s="1" t="s">
        <v>103</v>
      </c>
      <c r="C41" s="1" t="s">
        <v>104</v>
      </c>
      <c r="D41" s="1" t="s">
        <v>35</v>
      </c>
      <c r="E41" s="1" t="s">
        <v>13</v>
      </c>
      <c r="F41" s="1" t="s">
        <v>61</v>
      </c>
      <c r="G41" s="1">
        <v>3</v>
      </c>
      <c r="H41" s="2">
        <v>782.19</v>
      </c>
      <c r="I41" s="1">
        <v>0</v>
      </c>
      <c r="J41" s="1" t="s">
        <v>26</v>
      </c>
      <c r="K41" s="2">
        <f>SalesData[[#This Row],[Quantity]]*SalesData[[#This Row],[Unit Price]]*(1-SalesData[[#This Row],[Discount (%)]]/100)</f>
        <v>2346.5700000000002</v>
      </c>
    </row>
    <row r="42" spans="1:11" x14ac:dyDescent="0.3">
      <c r="A42" s="6">
        <v>46142</v>
      </c>
      <c r="B42" s="1" t="s">
        <v>105</v>
      </c>
      <c r="C42" s="1" t="s">
        <v>106</v>
      </c>
      <c r="D42" s="1" t="s">
        <v>35</v>
      </c>
      <c r="E42" s="1" t="s">
        <v>50</v>
      </c>
      <c r="F42" s="1" t="s">
        <v>51</v>
      </c>
      <c r="G42" s="1">
        <v>3</v>
      </c>
      <c r="H42" s="2">
        <v>463.24</v>
      </c>
      <c r="I42" s="1">
        <v>0</v>
      </c>
      <c r="J42" s="1" t="s">
        <v>76</v>
      </c>
      <c r="K42" s="2">
        <f>SalesData[[#This Row],[Quantity]]*SalesData[[#This Row],[Unit Price]]*(1-SalesData[[#This Row],[Discount (%)]]/100)</f>
        <v>1389.72</v>
      </c>
    </row>
    <row r="43" spans="1:11" x14ac:dyDescent="0.3">
      <c r="A43" s="6">
        <v>46143</v>
      </c>
      <c r="B43" s="1" t="s">
        <v>107</v>
      </c>
      <c r="C43" s="1" t="s">
        <v>89</v>
      </c>
      <c r="D43" s="1" t="s">
        <v>35</v>
      </c>
      <c r="E43" s="1" t="s">
        <v>50</v>
      </c>
      <c r="F43" s="1" t="s">
        <v>51</v>
      </c>
      <c r="G43" s="1">
        <v>4</v>
      </c>
      <c r="H43" s="2">
        <v>251.67</v>
      </c>
      <c r="I43" s="1">
        <v>15</v>
      </c>
      <c r="J43" s="1" t="s">
        <v>83</v>
      </c>
      <c r="K43" s="2">
        <f>SalesData[[#This Row],[Quantity]]*SalesData[[#This Row],[Unit Price]]*(1-SalesData[[#This Row],[Discount (%)]]/100)</f>
        <v>855.67799999999988</v>
      </c>
    </row>
    <row r="44" spans="1:11" x14ac:dyDescent="0.3">
      <c r="A44" s="6">
        <v>46078</v>
      </c>
      <c r="B44" s="1" t="s">
        <v>108</v>
      </c>
      <c r="C44" s="1" t="s">
        <v>109</v>
      </c>
      <c r="D44" s="1" t="s">
        <v>35</v>
      </c>
      <c r="E44" s="1" t="s">
        <v>13</v>
      </c>
      <c r="F44" s="1" t="s">
        <v>19</v>
      </c>
      <c r="G44" s="1">
        <v>10</v>
      </c>
      <c r="H44" s="2">
        <v>160.44999999999999</v>
      </c>
      <c r="I44" s="1">
        <v>10</v>
      </c>
      <c r="J44" s="1" t="s">
        <v>40</v>
      </c>
      <c r="K44" s="2">
        <f>SalesData[[#This Row],[Quantity]]*SalesData[[#This Row],[Unit Price]]*(1-SalesData[[#This Row],[Discount (%)]]/100)</f>
        <v>1444.05</v>
      </c>
    </row>
    <row r="45" spans="1:11" x14ac:dyDescent="0.3">
      <c r="A45" s="6">
        <v>46181</v>
      </c>
      <c r="B45" s="1" t="s">
        <v>110</v>
      </c>
      <c r="C45" s="1" t="s">
        <v>78</v>
      </c>
      <c r="D45" s="1" t="s">
        <v>18</v>
      </c>
      <c r="E45" s="1" t="s">
        <v>13</v>
      </c>
      <c r="F45" s="1" t="s">
        <v>19</v>
      </c>
      <c r="G45" s="1">
        <v>6</v>
      </c>
      <c r="H45" s="2">
        <v>704.75</v>
      </c>
      <c r="I45" s="1">
        <v>15</v>
      </c>
      <c r="J45" s="1" t="s">
        <v>20</v>
      </c>
      <c r="K45" s="2">
        <f>SalesData[[#This Row],[Quantity]]*SalesData[[#This Row],[Unit Price]]*(1-SalesData[[#This Row],[Discount (%)]]/100)</f>
        <v>3594.2249999999999</v>
      </c>
    </row>
    <row r="46" spans="1:11" x14ac:dyDescent="0.3">
      <c r="A46" s="6">
        <v>46038</v>
      </c>
      <c r="B46" s="1" t="s">
        <v>111</v>
      </c>
      <c r="C46" s="1" t="s">
        <v>112</v>
      </c>
      <c r="D46" s="1" t="s">
        <v>12</v>
      </c>
      <c r="E46" s="1" t="s">
        <v>13</v>
      </c>
      <c r="F46" s="1" t="s">
        <v>61</v>
      </c>
      <c r="G46" s="1">
        <v>7</v>
      </c>
      <c r="H46" s="2">
        <v>924.92</v>
      </c>
      <c r="I46" s="1">
        <v>10</v>
      </c>
      <c r="J46" s="1" t="s">
        <v>26</v>
      </c>
      <c r="K46" s="2">
        <f>SalesData[[#This Row],[Quantity]]*SalesData[[#This Row],[Unit Price]]*(1-SalesData[[#This Row],[Discount (%)]]/100)</f>
        <v>5826.9960000000001</v>
      </c>
    </row>
    <row r="47" spans="1:11" x14ac:dyDescent="0.3">
      <c r="A47" s="6">
        <v>46228</v>
      </c>
      <c r="B47" s="1" t="s">
        <v>113</v>
      </c>
      <c r="C47" s="1" t="s">
        <v>114</v>
      </c>
      <c r="D47" s="1" t="s">
        <v>18</v>
      </c>
      <c r="E47" s="1" t="s">
        <v>24</v>
      </c>
      <c r="F47" s="1" t="s">
        <v>25</v>
      </c>
      <c r="G47" s="1">
        <v>8</v>
      </c>
      <c r="H47" s="2">
        <v>504.11</v>
      </c>
      <c r="I47" s="1">
        <v>0</v>
      </c>
      <c r="J47" s="1" t="s">
        <v>15</v>
      </c>
      <c r="K47" s="2">
        <f>SalesData[[#This Row],[Quantity]]*SalesData[[#This Row],[Unit Price]]*(1-SalesData[[#This Row],[Discount (%)]]/100)</f>
        <v>4032.88</v>
      </c>
    </row>
    <row r="48" spans="1:11" x14ac:dyDescent="0.3">
      <c r="A48" s="6">
        <v>46114</v>
      </c>
      <c r="B48" s="1" t="s">
        <v>115</v>
      </c>
      <c r="C48" s="1" t="s">
        <v>32</v>
      </c>
      <c r="D48" s="1" t="s">
        <v>35</v>
      </c>
      <c r="E48" s="1" t="s">
        <v>50</v>
      </c>
      <c r="F48" s="1" t="s">
        <v>58</v>
      </c>
      <c r="G48" s="1">
        <v>6</v>
      </c>
      <c r="H48" s="2">
        <v>24.67</v>
      </c>
      <c r="I48" s="1">
        <v>10</v>
      </c>
      <c r="J48" s="1" t="s">
        <v>83</v>
      </c>
      <c r="K48" s="2">
        <f>SalesData[[#This Row],[Quantity]]*SalesData[[#This Row],[Unit Price]]*(1-SalesData[[#This Row],[Discount (%)]]/100)</f>
        <v>133.21800000000002</v>
      </c>
    </row>
    <row r="49" spans="1:11" x14ac:dyDescent="0.3">
      <c r="A49" s="6">
        <v>46189</v>
      </c>
      <c r="B49" s="1" t="s">
        <v>116</v>
      </c>
      <c r="C49" s="1" t="s">
        <v>89</v>
      </c>
      <c r="D49" s="1" t="s">
        <v>23</v>
      </c>
      <c r="E49" s="1" t="s">
        <v>50</v>
      </c>
      <c r="F49" s="1" t="s">
        <v>51</v>
      </c>
      <c r="G49" s="1">
        <v>2</v>
      </c>
      <c r="H49" s="2">
        <v>399.93</v>
      </c>
      <c r="I49" s="1">
        <v>10</v>
      </c>
      <c r="J49" s="1" t="s">
        <v>40</v>
      </c>
      <c r="K49" s="2">
        <f>SalesData[[#This Row],[Quantity]]*SalesData[[#This Row],[Unit Price]]*(1-SalesData[[#This Row],[Discount (%)]]/100)</f>
        <v>719.87400000000002</v>
      </c>
    </row>
    <row r="50" spans="1:11" x14ac:dyDescent="0.3">
      <c r="A50" s="6">
        <v>46113</v>
      </c>
      <c r="B50" s="1" t="s">
        <v>117</v>
      </c>
      <c r="C50" s="1" t="s">
        <v>17</v>
      </c>
      <c r="D50" s="1" t="s">
        <v>35</v>
      </c>
      <c r="E50" s="1" t="s">
        <v>13</v>
      </c>
      <c r="F50" s="1" t="s">
        <v>19</v>
      </c>
      <c r="G50" s="1">
        <v>2</v>
      </c>
      <c r="H50" s="2">
        <v>98.62</v>
      </c>
      <c r="I50" s="1">
        <v>0</v>
      </c>
      <c r="J50" s="1" t="s">
        <v>20</v>
      </c>
      <c r="K50" s="2">
        <f>SalesData[[#This Row],[Quantity]]*SalesData[[#This Row],[Unit Price]]*(1-SalesData[[#This Row],[Discount (%)]]/100)</f>
        <v>197.24</v>
      </c>
    </row>
    <row r="51" spans="1:11" x14ac:dyDescent="0.3">
      <c r="A51" s="6">
        <v>46031</v>
      </c>
      <c r="B51" s="1" t="s">
        <v>118</v>
      </c>
      <c r="C51" s="1" t="s">
        <v>60</v>
      </c>
      <c r="D51" s="1" t="s">
        <v>12</v>
      </c>
      <c r="E51" s="1" t="s">
        <v>29</v>
      </c>
      <c r="F51" s="1" t="s">
        <v>39</v>
      </c>
      <c r="G51" s="1">
        <v>10</v>
      </c>
      <c r="H51" s="2">
        <v>998.64</v>
      </c>
      <c r="I51" s="1">
        <v>15</v>
      </c>
      <c r="J51" s="1" t="s">
        <v>40</v>
      </c>
      <c r="K51" s="2">
        <f>SalesData[[#This Row],[Quantity]]*SalesData[[#This Row],[Unit Price]]*(1-SalesData[[#This Row],[Discount (%)]]/100)</f>
        <v>8488.4399999999987</v>
      </c>
    </row>
    <row r="52" spans="1:11" x14ac:dyDescent="0.3">
      <c r="A52" s="6">
        <v>46164</v>
      </c>
      <c r="B52" s="1" t="s">
        <v>119</v>
      </c>
      <c r="C52" s="1" t="s">
        <v>120</v>
      </c>
      <c r="D52" s="1" t="s">
        <v>23</v>
      </c>
      <c r="E52" s="1" t="s">
        <v>24</v>
      </c>
      <c r="F52" s="1" t="s">
        <v>25</v>
      </c>
      <c r="G52" s="1">
        <v>10</v>
      </c>
      <c r="H52" s="2">
        <v>520.30999999999995</v>
      </c>
      <c r="I52" s="1">
        <v>0</v>
      </c>
      <c r="J52" s="1" t="s">
        <v>15</v>
      </c>
      <c r="K52" s="2">
        <f>SalesData[[#This Row],[Quantity]]*SalesData[[#This Row],[Unit Price]]*(1-SalesData[[#This Row],[Discount (%)]]/100)</f>
        <v>5203.0999999999995</v>
      </c>
    </row>
    <row r="53" spans="1:11" x14ac:dyDescent="0.3">
      <c r="A53" s="6">
        <v>46073</v>
      </c>
      <c r="B53" s="1" t="s">
        <v>121</v>
      </c>
      <c r="C53" s="1" t="s">
        <v>122</v>
      </c>
      <c r="D53" s="1" t="s">
        <v>35</v>
      </c>
      <c r="E53" s="1" t="s">
        <v>29</v>
      </c>
      <c r="F53" s="1" t="s">
        <v>30</v>
      </c>
      <c r="G53" s="1">
        <v>6</v>
      </c>
      <c r="H53" s="2">
        <v>166.21</v>
      </c>
      <c r="I53" s="1">
        <v>0</v>
      </c>
      <c r="J53" s="1" t="s">
        <v>76</v>
      </c>
      <c r="K53" s="2">
        <f>SalesData[[#This Row],[Quantity]]*SalesData[[#This Row],[Unit Price]]*(1-SalesData[[#This Row],[Discount (%)]]/100)</f>
        <v>997.26</v>
      </c>
    </row>
    <row r="54" spans="1:11" x14ac:dyDescent="0.3">
      <c r="A54" s="6">
        <v>46069</v>
      </c>
      <c r="B54" s="1" t="s">
        <v>123</v>
      </c>
      <c r="C54" s="1" t="s">
        <v>11</v>
      </c>
      <c r="D54" s="1" t="s">
        <v>18</v>
      </c>
      <c r="E54" s="1" t="s">
        <v>13</v>
      </c>
      <c r="F54" s="1" t="s">
        <v>14</v>
      </c>
      <c r="G54" s="1">
        <v>10</v>
      </c>
      <c r="H54" s="2">
        <v>225.99</v>
      </c>
      <c r="I54" s="1">
        <v>10</v>
      </c>
      <c r="J54" s="1" t="s">
        <v>76</v>
      </c>
      <c r="K54" s="2">
        <f>SalesData[[#This Row],[Quantity]]*SalesData[[#This Row],[Unit Price]]*(1-SalesData[[#This Row],[Discount (%)]]/100)</f>
        <v>2033.91</v>
      </c>
    </row>
    <row r="55" spans="1:11" x14ac:dyDescent="0.3">
      <c r="A55" s="6">
        <v>46085</v>
      </c>
      <c r="B55" s="1" t="s">
        <v>124</v>
      </c>
      <c r="C55" s="1" t="s">
        <v>125</v>
      </c>
      <c r="D55" s="1" t="s">
        <v>12</v>
      </c>
      <c r="E55" s="1" t="s">
        <v>29</v>
      </c>
      <c r="F55" s="1" t="s">
        <v>65</v>
      </c>
      <c r="G55" s="1">
        <v>6</v>
      </c>
      <c r="H55" s="2">
        <v>1097.42</v>
      </c>
      <c r="I55" s="1">
        <v>0</v>
      </c>
      <c r="J55" s="1" t="s">
        <v>76</v>
      </c>
      <c r="K55" s="2">
        <f>SalesData[[#This Row],[Quantity]]*SalesData[[#This Row],[Unit Price]]*(1-SalesData[[#This Row],[Discount (%)]]/100)</f>
        <v>6584.52</v>
      </c>
    </row>
    <row r="56" spans="1:11" x14ac:dyDescent="0.3">
      <c r="A56" s="6">
        <v>46053</v>
      </c>
      <c r="B56" s="1" t="s">
        <v>126</v>
      </c>
      <c r="C56" s="1" t="s">
        <v>34</v>
      </c>
      <c r="D56" s="1" t="s">
        <v>18</v>
      </c>
      <c r="E56" s="1" t="s">
        <v>24</v>
      </c>
      <c r="F56" s="1" t="s">
        <v>43</v>
      </c>
      <c r="G56" s="1">
        <v>10</v>
      </c>
      <c r="H56" s="2">
        <v>845.25</v>
      </c>
      <c r="I56" s="1">
        <v>10</v>
      </c>
      <c r="J56" s="1" t="s">
        <v>20</v>
      </c>
      <c r="K56" s="2">
        <f>SalesData[[#This Row],[Quantity]]*SalesData[[#This Row],[Unit Price]]*(1-SalesData[[#This Row],[Discount (%)]]/100)</f>
        <v>7607.25</v>
      </c>
    </row>
    <row r="57" spans="1:11" x14ac:dyDescent="0.3">
      <c r="A57" s="6">
        <v>46098</v>
      </c>
      <c r="B57" s="1" t="s">
        <v>127</v>
      </c>
      <c r="C57" s="1" t="s">
        <v>11</v>
      </c>
      <c r="D57" s="1" t="s">
        <v>12</v>
      </c>
      <c r="E57" s="1" t="s">
        <v>24</v>
      </c>
      <c r="F57" s="1" t="s">
        <v>36</v>
      </c>
      <c r="G57" s="1">
        <v>3</v>
      </c>
      <c r="H57" s="2">
        <v>1117.22</v>
      </c>
      <c r="I57" s="1">
        <v>5</v>
      </c>
      <c r="J57" s="1" t="s">
        <v>15</v>
      </c>
      <c r="K57" s="2">
        <f>SalesData[[#This Row],[Quantity]]*SalesData[[#This Row],[Unit Price]]*(1-SalesData[[#This Row],[Discount (%)]]/100)</f>
        <v>3184.0769999999998</v>
      </c>
    </row>
    <row r="58" spans="1:11" x14ac:dyDescent="0.3">
      <c r="A58" s="6">
        <v>46138</v>
      </c>
      <c r="B58" s="1" t="s">
        <v>128</v>
      </c>
      <c r="C58" s="1" t="s">
        <v>60</v>
      </c>
      <c r="D58" s="1" t="s">
        <v>18</v>
      </c>
      <c r="E58" s="1" t="s">
        <v>29</v>
      </c>
      <c r="F58" s="1" t="s">
        <v>65</v>
      </c>
      <c r="G58" s="1">
        <v>10</v>
      </c>
      <c r="H58" s="2">
        <v>1183.98</v>
      </c>
      <c r="I58" s="1">
        <v>15</v>
      </c>
      <c r="J58" s="1" t="s">
        <v>26</v>
      </c>
      <c r="K58" s="2">
        <f>SalesData[[#This Row],[Quantity]]*SalesData[[#This Row],[Unit Price]]*(1-SalesData[[#This Row],[Discount (%)]]/100)</f>
        <v>10063.83</v>
      </c>
    </row>
    <row r="59" spans="1:11" x14ac:dyDescent="0.3">
      <c r="A59" s="6">
        <v>46217</v>
      </c>
      <c r="B59" s="1" t="s">
        <v>129</v>
      </c>
      <c r="C59" s="1" t="s">
        <v>17</v>
      </c>
      <c r="D59" s="1" t="s">
        <v>18</v>
      </c>
      <c r="E59" s="1" t="s">
        <v>13</v>
      </c>
      <c r="F59" s="1" t="s">
        <v>61</v>
      </c>
      <c r="G59" s="1">
        <v>10</v>
      </c>
      <c r="H59" s="2">
        <v>742.25</v>
      </c>
      <c r="I59" s="1">
        <v>10</v>
      </c>
      <c r="J59" s="1" t="s">
        <v>15</v>
      </c>
      <c r="K59" s="2">
        <f>SalesData[[#This Row],[Quantity]]*SalesData[[#This Row],[Unit Price]]*(1-SalesData[[#This Row],[Discount (%)]]/100)</f>
        <v>6680.25</v>
      </c>
    </row>
    <row r="60" spans="1:11" x14ac:dyDescent="0.3">
      <c r="A60" s="6">
        <v>46133</v>
      </c>
      <c r="B60" s="1" t="s">
        <v>130</v>
      </c>
      <c r="C60" s="1" t="s">
        <v>131</v>
      </c>
      <c r="D60" s="1" t="s">
        <v>35</v>
      </c>
      <c r="E60" s="1" t="s">
        <v>50</v>
      </c>
      <c r="F60" s="1" t="s">
        <v>63</v>
      </c>
      <c r="G60" s="1">
        <v>8</v>
      </c>
      <c r="H60" s="2">
        <v>376.54</v>
      </c>
      <c r="I60" s="1">
        <v>5</v>
      </c>
      <c r="J60" s="1" t="s">
        <v>26</v>
      </c>
      <c r="K60" s="2">
        <f>SalesData[[#This Row],[Quantity]]*SalesData[[#This Row],[Unit Price]]*(1-SalesData[[#This Row],[Discount (%)]]/100)</f>
        <v>2861.7040000000002</v>
      </c>
    </row>
    <row r="61" spans="1:11" x14ac:dyDescent="0.3">
      <c r="A61" s="6">
        <v>46049</v>
      </c>
      <c r="B61" s="1" t="s">
        <v>132</v>
      </c>
      <c r="C61" s="1" t="s">
        <v>53</v>
      </c>
      <c r="D61" s="1" t="s">
        <v>23</v>
      </c>
      <c r="E61" s="1" t="s">
        <v>13</v>
      </c>
      <c r="F61" s="1" t="s">
        <v>14</v>
      </c>
      <c r="G61" s="1">
        <v>8</v>
      </c>
      <c r="H61" s="2">
        <v>1069.67</v>
      </c>
      <c r="I61" s="1">
        <v>10</v>
      </c>
      <c r="J61" s="1" t="s">
        <v>20</v>
      </c>
      <c r="K61" s="2">
        <f>SalesData[[#This Row],[Quantity]]*SalesData[[#This Row],[Unit Price]]*(1-SalesData[[#This Row],[Discount (%)]]/100)</f>
        <v>7701.6240000000007</v>
      </c>
    </row>
    <row r="62" spans="1:11" x14ac:dyDescent="0.3">
      <c r="A62" s="6">
        <v>46192</v>
      </c>
      <c r="B62" s="1" t="s">
        <v>133</v>
      </c>
      <c r="C62" s="1" t="s">
        <v>106</v>
      </c>
      <c r="D62" s="1" t="s">
        <v>35</v>
      </c>
      <c r="E62" s="1" t="s">
        <v>50</v>
      </c>
      <c r="F62" s="1" t="s">
        <v>63</v>
      </c>
      <c r="G62" s="1">
        <v>7</v>
      </c>
      <c r="H62" s="2">
        <v>797.72</v>
      </c>
      <c r="I62" s="1">
        <v>0</v>
      </c>
      <c r="J62" s="1" t="s">
        <v>20</v>
      </c>
      <c r="K62" s="2">
        <f>SalesData[[#This Row],[Quantity]]*SalesData[[#This Row],[Unit Price]]*(1-SalesData[[#This Row],[Discount (%)]]/100)</f>
        <v>5584.04</v>
      </c>
    </row>
    <row r="63" spans="1:11" x14ac:dyDescent="0.3">
      <c r="A63" s="6">
        <v>46183</v>
      </c>
      <c r="B63" s="1" t="s">
        <v>134</v>
      </c>
      <c r="C63" s="1" t="s">
        <v>135</v>
      </c>
      <c r="D63" s="1" t="s">
        <v>12</v>
      </c>
      <c r="E63" s="1" t="s">
        <v>50</v>
      </c>
      <c r="F63" s="1" t="s">
        <v>72</v>
      </c>
      <c r="G63" s="1">
        <v>2</v>
      </c>
      <c r="H63" s="2">
        <v>1091.08</v>
      </c>
      <c r="I63" s="1">
        <v>5</v>
      </c>
      <c r="J63" s="1" t="s">
        <v>20</v>
      </c>
      <c r="K63" s="2">
        <f>SalesData[[#This Row],[Quantity]]*SalesData[[#This Row],[Unit Price]]*(1-SalesData[[#This Row],[Discount (%)]]/100)</f>
        <v>2073.0519999999997</v>
      </c>
    </row>
    <row r="64" spans="1:11" x14ac:dyDescent="0.3">
      <c r="A64" s="6">
        <v>46081</v>
      </c>
      <c r="B64" s="1" t="s">
        <v>136</v>
      </c>
      <c r="C64" s="1" t="s">
        <v>109</v>
      </c>
      <c r="D64" s="1" t="s">
        <v>23</v>
      </c>
      <c r="E64" s="1" t="s">
        <v>29</v>
      </c>
      <c r="F64" s="1" t="s">
        <v>30</v>
      </c>
      <c r="G64" s="1">
        <v>6</v>
      </c>
      <c r="H64" s="2">
        <v>675.43</v>
      </c>
      <c r="I64" s="1">
        <v>0</v>
      </c>
      <c r="J64" s="1" t="s">
        <v>26</v>
      </c>
      <c r="K64" s="2">
        <f>SalesData[[#This Row],[Quantity]]*SalesData[[#This Row],[Unit Price]]*(1-SalesData[[#This Row],[Discount (%)]]/100)</f>
        <v>4052.58</v>
      </c>
    </row>
    <row r="65" spans="1:11" x14ac:dyDescent="0.3">
      <c r="A65" s="6">
        <v>46047</v>
      </c>
      <c r="B65" s="1" t="s">
        <v>137</v>
      </c>
      <c r="C65" s="1" t="s">
        <v>138</v>
      </c>
      <c r="D65" s="1" t="s">
        <v>35</v>
      </c>
      <c r="E65" s="1" t="s">
        <v>13</v>
      </c>
      <c r="F65" s="1" t="s">
        <v>61</v>
      </c>
      <c r="G65" s="1">
        <v>4</v>
      </c>
      <c r="H65" s="2">
        <v>282.35000000000002</v>
      </c>
      <c r="I65" s="1">
        <v>15</v>
      </c>
      <c r="J65" s="1" t="s">
        <v>40</v>
      </c>
      <c r="K65" s="2">
        <f>SalesData[[#This Row],[Quantity]]*SalesData[[#This Row],[Unit Price]]*(1-SalesData[[#This Row],[Discount (%)]]/100)</f>
        <v>959.99</v>
      </c>
    </row>
    <row r="66" spans="1:11" x14ac:dyDescent="0.3">
      <c r="A66" s="6">
        <v>46188</v>
      </c>
      <c r="B66" s="1" t="s">
        <v>139</v>
      </c>
      <c r="C66" s="1" t="s">
        <v>17</v>
      </c>
      <c r="D66" s="1" t="s">
        <v>35</v>
      </c>
      <c r="E66" s="1" t="s">
        <v>50</v>
      </c>
      <c r="F66" s="1" t="s">
        <v>63</v>
      </c>
      <c r="G66" s="1">
        <v>1</v>
      </c>
      <c r="H66" s="2">
        <v>290.39999999999998</v>
      </c>
      <c r="I66" s="1">
        <v>5</v>
      </c>
      <c r="J66" s="1" t="s">
        <v>83</v>
      </c>
      <c r="K66" s="2">
        <f>SalesData[[#This Row],[Quantity]]*SalesData[[#This Row],[Unit Price]]*(1-SalesData[[#This Row],[Discount (%)]]/100)</f>
        <v>275.87999999999994</v>
      </c>
    </row>
    <row r="67" spans="1:11" x14ac:dyDescent="0.3">
      <c r="A67" s="6">
        <v>46068</v>
      </c>
      <c r="B67" s="1" t="s">
        <v>140</v>
      </c>
      <c r="C67" s="1" t="s">
        <v>141</v>
      </c>
      <c r="D67" s="1" t="s">
        <v>12</v>
      </c>
      <c r="E67" s="1" t="s">
        <v>13</v>
      </c>
      <c r="F67" s="1" t="s">
        <v>61</v>
      </c>
      <c r="G67" s="1">
        <v>4</v>
      </c>
      <c r="H67" s="2">
        <v>803.88</v>
      </c>
      <c r="I67" s="1">
        <v>15</v>
      </c>
      <c r="J67" s="1" t="s">
        <v>26</v>
      </c>
      <c r="K67" s="2">
        <f>SalesData[[#This Row],[Quantity]]*SalesData[[#This Row],[Unit Price]]*(1-SalesData[[#This Row],[Discount (%)]]/100)</f>
        <v>2733.192</v>
      </c>
    </row>
    <row r="68" spans="1:11" x14ac:dyDescent="0.3">
      <c r="A68" s="6">
        <v>46083</v>
      </c>
      <c r="B68" s="1" t="s">
        <v>142</v>
      </c>
      <c r="C68" s="1" t="s">
        <v>143</v>
      </c>
      <c r="D68" s="1" t="s">
        <v>12</v>
      </c>
      <c r="E68" s="1" t="s">
        <v>13</v>
      </c>
      <c r="F68" s="1" t="s">
        <v>61</v>
      </c>
      <c r="G68" s="1">
        <v>4</v>
      </c>
      <c r="H68" s="2">
        <v>472.22</v>
      </c>
      <c r="I68" s="1">
        <v>5</v>
      </c>
      <c r="J68" s="1" t="s">
        <v>26</v>
      </c>
      <c r="K68" s="2">
        <f>SalesData[[#This Row],[Quantity]]*SalesData[[#This Row],[Unit Price]]*(1-SalesData[[#This Row],[Discount (%)]]/100)</f>
        <v>1794.4359999999999</v>
      </c>
    </row>
    <row r="69" spans="1:11" x14ac:dyDescent="0.3">
      <c r="A69" s="6">
        <v>46175</v>
      </c>
      <c r="B69" s="1" t="s">
        <v>144</v>
      </c>
      <c r="C69" s="1" t="s">
        <v>143</v>
      </c>
      <c r="D69" s="1" t="s">
        <v>35</v>
      </c>
      <c r="E69" s="1" t="s">
        <v>29</v>
      </c>
      <c r="F69" s="1" t="s">
        <v>30</v>
      </c>
      <c r="G69" s="1">
        <v>2</v>
      </c>
      <c r="H69" s="2">
        <v>944.48</v>
      </c>
      <c r="I69" s="1">
        <v>15</v>
      </c>
      <c r="J69" s="1" t="s">
        <v>15</v>
      </c>
      <c r="K69" s="2">
        <f>SalesData[[#This Row],[Quantity]]*SalesData[[#This Row],[Unit Price]]*(1-SalesData[[#This Row],[Discount (%)]]/100)</f>
        <v>1605.616</v>
      </c>
    </row>
    <row r="70" spans="1:11" x14ac:dyDescent="0.3">
      <c r="A70" s="6">
        <v>46132</v>
      </c>
      <c r="B70" s="1" t="s">
        <v>145</v>
      </c>
      <c r="C70" s="1" t="s">
        <v>141</v>
      </c>
      <c r="D70" s="1" t="s">
        <v>18</v>
      </c>
      <c r="E70" s="1" t="s">
        <v>29</v>
      </c>
      <c r="F70" s="1" t="s">
        <v>39</v>
      </c>
      <c r="G70" s="1">
        <v>4</v>
      </c>
      <c r="H70" s="2">
        <v>179.87</v>
      </c>
      <c r="I70" s="1">
        <v>10</v>
      </c>
      <c r="J70" s="1" t="s">
        <v>40</v>
      </c>
      <c r="K70" s="2">
        <f>SalesData[[#This Row],[Quantity]]*SalesData[[#This Row],[Unit Price]]*(1-SalesData[[#This Row],[Discount (%)]]/100)</f>
        <v>647.53200000000004</v>
      </c>
    </row>
    <row r="71" spans="1:11" x14ac:dyDescent="0.3">
      <c r="A71" s="6">
        <v>46194</v>
      </c>
      <c r="B71" s="1" t="s">
        <v>146</v>
      </c>
      <c r="C71" s="1" t="s">
        <v>147</v>
      </c>
      <c r="D71" s="1" t="s">
        <v>23</v>
      </c>
      <c r="E71" s="1" t="s">
        <v>24</v>
      </c>
      <c r="F71" s="1" t="s">
        <v>43</v>
      </c>
      <c r="G71" s="1">
        <v>2</v>
      </c>
      <c r="H71" s="2">
        <v>521.23</v>
      </c>
      <c r="I71" s="1">
        <v>0</v>
      </c>
      <c r="J71" s="1" t="s">
        <v>83</v>
      </c>
      <c r="K71" s="2">
        <f>SalesData[[#This Row],[Quantity]]*SalesData[[#This Row],[Unit Price]]*(1-SalesData[[#This Row],[Discount (%)]]/100)</f>
        <v>1042.46</v>
      </c>
    </row>
    <row r="72" spans="1:11" x14ac:dyDescent="0.3">
      <c r="A72" s="6">
        <v>46127</v>
      </c>
      <c r="B72" s="1" t="s">
        <v>148</v>
      </c>
      <c r="C72" s="1" t="s">
        <v>149</v>
      </c>
      <c r="D72" s="1" t="s">
        <v>35</v>
      </c>
      <c r="E72" s="1" t="s">
        <v>50</v>
      </c>
      <c r="F72" s="1" t="s">
        <v>58</v>
      </c>
      <c r="G72" s="1">
        <v>3</v>
      </c>
      <c r="H72" s="2">
        <v>193.19</v>
      </c>
      <c r="I72" s="1">
        <v>10</v>
      </c>
      <c r="J72" s="1" t="s">
        <v>83</v>
      </c>
      <c r="K72" s="2">
        <f>SalesData[[#This Row],[Quantity]]*SalesData[[#This Row],[Unit Price]]*(1-SalesData[[#This Row],[Discount (%)]]/100)</f>
        <v>521.61299999999994</v>
      </c>
    </row>
    <row r="73" spans="1:11" x14ac:dyDescent="0.3">
      <c r="A73" s="6">
        <v>46224</v>
      </c>
      <c r="B73" s="1" t="s">
        <v>150</v>
      </c>
      <c r="C73" s="1" t="s">
        <v>151</v>
      </c>
      <c r="D73" s="1" t="s">
        <v>35</v>
      </c>
      <c r="E73" s="1" t="s">
        <v>24</v>
      </c>
      <c r="F73" s="1" t="s">
        <v>43</v>
      </c>
      <c r="G73" s="1">
        <v>4</v>
      </c>
      <c r="H73" s="2">
        <v>316.89</v>
      </c>
      <c r="I73" s="1">
        <v>0</v>
      </c>
      <c r="J73" s="1" t="s">
        <v>20</v>
      </c>
      <c r="K73" s="2">
        <f>SalesData[[#This Row],[Quantity]]*SalesData[[#This Row],[Unit Price]]*(1-SalesData[[#This Row],[Discount (%)]]/100)</f>
        <v>1267.56</v>
      </c>
    </row>
    <row r="74" spans="1:11" x14ac:dyDescent="0.3">
      <c r="A74" s="6">
        <v>46136</v>
      </c>
      <c r="B74" s="1" t="s">
        <v>152</v>
      </c>
      <c r="C74" s="1" t="s">
        <v>135</v>
      </c>
      <c r="D74" s="1" t="s">
        <v>18</v>
      </c>
      <c r="E74" s="1" t="s">
        <v>29</v>
      </c>
      <c r="F74" s="1" t="s">
        <v>30</v>
      </c>
      <c r="G74" s="1">
        <v>9</v>
      </c>
      <c r="H74" s="2">
        <v>1030.72</v>
      </c>
      <c r="I74" s="1">
        <v>0</v>
      </c>
      <c r="J74" s="1" t="s">
        <v>83</v>
      </c>
      <c r="K74" s="2">
        <f>SalesData[[#This Row],[Quantity]]*SalesData[[#This Row],[Unit Price]]*(1-SalesData[[#This Row],[Discount (%)]]/100)</f>
        <v>9276.48</v>
      </c>
    </row>
    <row r="75" spans="1:11" x14ac:dyDescent="0.3">
      <c r="A75" s="6">
        <v>46051</v>
      </c>
      <c r="B75" s="1" t="s">
        <v>153</v>
      </c>
      <c r="C75" s="1" t="s">
        <v>69</v>
      </c>
      <c r="D75" s="1" t="s">
        <v>12</v>
      </c>
      <c r="E75" s="1" t="s">
        <v>29</v>
      </c>
      <c r="F75" s="1" t="s">
        <v>39</v>
      </c>
      <c r="G75" s="1">
        <v>10</v>
      </c>
      <c r="H75" s="2">
        <v>650.99</v>
      </c>
      <c r="I75" s="1">
        <v>10</v>
      </c>
      <c r="J75" s="1" t="s">
        <v>15</v>
      </c>
      <c r="K75" s="2">
        <f>SalesData[[#This Row],[Quantity]]*SalesData[[#This Row],[Unit Price]]*(1-SalesData[[#This Row],[Discount (%)]]/100)</f>
        <v>5858.91</v>
      </c>
    </row>
    <row r="76" spans="1:11" x14ac:dyDescent="0.3">
      <c r="A76" s="6">
        <v>46110</v>
      </c>
      <c r="B76" s="1" t="s">
        <v>154</v>
      </c>
      <c r="C76" s="1" t="s">
        <v>155</v>
      </c>
      <c r="D76" s="1" t="s">
        <v>18</v>
      </c>
      <c r="E76" s="1" t="s">
        <v>13</v>
      </c>
      <c r="F76" s="1" t="s">
        <v>61</v>
      </c>
      <c r="G76" s="1">
        <v>7</v>
      </c>
      <c r="H76" s="2">
        <v>864.97</v>
      </c>
      <c r="I76" s="1">
        <v>5</v>
      </c>
      <c r="J76" s="1" t="s">
        <v>26</v>
      </c>
      <c r="K76" s="2">
        <f>SalesData[[#This Row],[Quantity]]*SalesData[[#This Row],[Unit Price]]*(1-SalesData[[#This Row],[Discount (%)]]/100)</f>
        <v>5752.0504999999994</v>
      </c>
    </row>
    <row r="77" spans="1:11" x14ac:dyDescent="0.3">
      <c r="A77" s="6">
        <v>46113</v>
      </c>
      <c r="B77" s="1" t="s">
        <v>156</v>
      </c>
      <c r="C77" s="1" t="s">
        <v>147</v>
      </c>
      <c r="D77" s="1" t="s">
        <v>18</v>
      </c>
      <c r="E77" s="1" t="s">
        <v>24</v>
      </c>
      <c r="F77" s="1" t="s">
        <v>43</v>
      </c>
      <c r="G77" s="1">
        <v>7</v>
      </c>
      <c r="H77" s="2">
        <v>589.35</v>
      </c>
      <c r="I77" s="1">
        <v>10</v>
      </c>
      <c r="J77" s="1" t="s">
        <v>26</v>
      </c>
      <c r="K77" s="2">
        <f>SalesData[[#This Row],[Quantity]]*SalesData[[#This Row],[Unit Price]]*(1-SalesData[[#This Row],[Discount (%)]]/100)</f>
        <v>3712.9049999999997</v>
      </c>
    </row>
    <row r="78" spans="1:11" x14ac:dyDescent="0.3">
      <c r="A78" s="6">
        <v>46096</v>
      </c>
      <c r="B78" s="1" t="s">
        <v>157</v>
      </c>
      <c r="C78" s="1" t="s">
        <v>49</v>
      </c>
      <c r="D78" s="1" t="s">
        <v>18</v>
      </c>
      <c r="E78" s="1" t="s">
        <v>29</v>
      </c>
      <c r="F78" s="1" t="s">
        <v>39</v>
      </c>
      <c r="G78" s="1">
        <v>5</v>
      </c>
      <c r="H78" s="2">
        <v>944.13</v>
      </c>
      <c r="I78" s="1">
        <v>10</v>
      </c>
      <c r="J78" s="1" t="s">
        <v>20</v>
      </c>
      <c r="K78" s="2">
        <f>SalesData[[#This Row],[Quantity]]*SalesData[[#This Row],[Unit Price]]*(1-SalesData[[#This Row],[Discount (%)]]/100)</f>
        <v>4248.585</v>
      </c>
    </row>
    <row r="79" spans="1:11" x14ac:dyDescent="0.3">
      <c r="A79" s="6">
        <v>46140</v>
      </c>
      <c r="B79" s="1" t="s">
        <v>158</v>
      </c>
      <c r="C79" s="1" t="s">
        <v>49</v>
      </c>
      <c r="D79" s="1" t="s">
        <v>23</v>
      </c>
      <c r="E79" s="1" t="s">
        <v>24</v>
      </c>
      <c r="F79" s="1" t="s">
        <v>36</v>
      </c>
      <c r="G79" s="1">
        <v>8</v>
      </c>
      <c r="H79" s="2">
        <v>534.97</v>
      </c>
      <c r="I79" s="1">
        <v>15</v>
      </c>
      <c r="J79" s="1" t="s">
        <v>83</v>
      </c>
      <c r="K79" s="2">
        <f>SalesData[[#This Row],[Quantity]]*SalesData[[#This Row],[Unit Price]]*(1-SalesData[[#This Row],[Discount (%)]]/100)</f>
        <v>3637.7960000000003</v>
      </c>
    </row>
    <row r="80" spans="1:11" x14ac:dyDescent="0.3">
      <c r="A80" s="6">
        <v>46140</v>
      </c>
      <c r="B80" s="1" t="s">
        <v>159</v>
      </c>
      <c r="C80" s="1" t="s">
        <v>160</v>
      </c>
      <c r="D80" s="1" t="s">
        <v>35</v>
      </c>
      <c r="E80" s="1" t="s">
        <v>29</v>
      </c>
      <c r="F80" s="1" t="s">
        <v>65</v>
      </c>
      <c r="G80" s="1">
        <v>6</v>
      </c>
      <c r="H80" s="2">
        <v>473.67</v>
      </c>
      <c r="I80" s="1">
        <v>10</v>
      </c>
      <c r="J80" s="1" t="s">
        <v>76</v>
      </c>
      <c r="K80" s="2">
        <f>SalesData[[#This Row],[Quantity]]*SalesData[[#This Row],[Unit Price]]*(1-SalesData[[#This Row],[Discount (%)]]/100)</f>
        <v>2557.8180000000002</v>
      </c>
    </row>
    <row r="81" spans="1:11" x14ac:dyDescent="0.3">
      <c r="A81" s="6">
        <v>46209</v>
      </c>
      <c r="B81" s="1" t="s">
        <v>161</v>
      </c>
      <c r="C81" s="1" t="s">
        <v>160</v>
      </c>
      <c r="D81" s="1" t="s">
        <v>35</v>
      </c>
      <c r="E81" s="1" t="s">
        <v>13</v>
      </c>
      <c r="F81" s="1" t="s">
        <v>14</v>
      </c>
      <c r="G81" s="1">
        <v>7</v>
      </c>
      <c r="H81" s="2">
        <v>377.82</v>
      </c>
      <c r="I81" s="1">
        <v>15</v>
      </c>
      <c r="J81" s="1" t="s">
        <v>20</v>
      </c>
      <c r="K81" s="2">
        <f>SalesData[[#This Row],[Quantity]]*SalesData[[#This Row],[Unit Price]]*(1-SalesData[[#This Row],[Discount (%)]]/100)</f>
        <v>2248.0289999999995</v>
      </c>
    </row>
    <row r="82" spans="1:11" x14ac:dyDescent="0.3">
      <c r="A82" s="6">
        <v>46202</v>
      </c>
      <c r="B82" s="1" t="s">
        <v>162</v>
      </c>
      <c r="C82" s="1" t="s">
        <v>78</v>
      </c>
      <c r="D82" s="1" t="s">
        <v>12</v>
      </c>
      <c r="E82" s="1" t="s">
        <v>50</v>
      </c>
      <c r="F82" s="1" t="s">
        <v>58</v>
      </c>
      <c r="G82" s="1">
        <v>8</v>
      </c>
      <c r="H82" s="2">
        <v>806.43</v>
      </c>
      <c r="I82" s="1">
        <v>0</v>
      </c>
      <c r="J82" s="1" t="s">
        <v>20</v>
      </c>
      <c r="K82" s="2">
        <f>SalesData[[#This Row],[Quantity]]*SalesData[[#This Row],[Unit Price]]*(1-SalesData[[#This Row],[Discount (%)]]/100)</f>
        <v>6451.44</v>
      </c>
    </row>
    <row r="83" spans="1:11" x14ac:dyDescent="0.3">
      <c r="A83" s="6">
        <v>46131</v>
      </c>
      <c r="B83" s="1" t="s">
        <v>163</v>
      </c>
      <c r="C83" s="1" t="s">
        <v>164</v>
      </c>
      <c r="D83" s="1" t="s">
        <v>23</v>
      </c>
      <c r="E83" s="1" t="s">
        <v>13</v>
      </c>
      <c r="F83" s="1" t="s">
        <v>61</v>
      </c>
      <c r="G83" s="1">
        <v>7</v>
      </c>
      <c r="H83" s="2">
        <v>904.96</v>
      </c>
      <c r="I83" s="1">
        <v>5</v>
      </c>
      <c r="J83" s="1" t="s">
        <v>26</v>
      </c>
      <c r="K83" s="2">
        <f>SalesData[[#This Row],[Quantity]]*SalesData[[#This Row],[Unit Price]]*(1-SalesData[[#This Row],[Discount (%)]]/100)</f>
        <v>6017.9840000000004</v>
      </c>
    </row>
    <row r="84" spans="1:11" x14ac:dyDescent="0.3">
      <c r="A84" s="6">
        <v>46057</v>
      </c>
      <c r="B84" s="1" t="s">
        <v>165</v>
      </c>
      <c r="C84" s="1" t="s">
        <v>166</v>
      </c>
      <c r="D84" s="1" t="s">
        <v>35</v>
      </c>
      <c r="E84" s="1" t="s">
        <v>24</v>
      </c>
      <c r="F84" s="1" t="s">
        <v>36</v>
      </c>
      <c r="G84" s="1">
        <v>5</v>
      </c>
      <c r="H84" s="2">
        <v>1134.74</v>
      </c>
      <c r="I84" s="1">
        <v>5</v>
      </c>
      <c r="J84" s="1" t="s">
        <v>20</v>
      </c>
      <c r="K84" s="2">
        <f>SalesData[[#This Row],[Quantity]]*SalesData[[#This Row],[Unit Price]]*(1-SalesData[[#This Row],[Discount (%)]]/100)</f>
        <v>5390.0149999999994</v>
      </c>
    </row>
    <row r="85" spans="1:11" x14ac:dyDescent="0.3">
      <c r="A85" s="6">
        <v>46206</v>
      </c>
      <c r="B85" s="1" t="s">
        <v>167</v>
      </c>
      <c r="C85" s="1" t="s">
        <v>114</v>
      </c>
      <c r="D85" s="1" t="s">
        <v>23</v>
      </c>
      <c r="E85" s="1" t="s">
        <v>13</v>
      </c>
      <c r="F85" s="1" t="s">
        <v>61</v>
      </c>
      <c r="G85" s="1">
        <v>4</v>
      </c>
      <c r="H85" s="2">
        <v>78.400000000000006</v>
      </c>
      <c r="I85" s="1">
        <v>0</v>
      </c>
      <c r="J85" s="1" t="s">
        <v>15</v>
      </c>
      <c r="K85" s="2">
        <f>SalesData[[#This Row],[Quantity]]*SalesData[[#This Row],[Unit Price]]*(1-SalesData[[#This Row],[Discount (%)]]/100)</f>
        <v>313.60000000000002</v>
      </c>
    </row>
    <row r="86" spans="1:11" x14ac:dyDescent="0.3">
      <c r="A86" s="6">
        <v>46196</v>
      </c>
      <c r="B86" s="1" t="s">
        <v>168</v>
      </c>
      <c r="C86" s="1" t="s">
        <v>138</v>
      </c>
      <c r="D86" s="1" t="s">
        <v>18</v>
      </c>
      <c r="E86" s="1" t="s">
        <v>24</v>
      </c>
      <c r="F86" s="1" t="s">
        <v>36</v>
      </c>
      <c r="G86" s="1">
        <v>8</v>
      </c>
      <c r="H86" s="2">
        <v>995.34</v>
      </c>
      <c r="I86" s="1">
        <v>5</v>
      </c>
      <c r="J86" s="1" t="s">
        <v>15</v>
      </c>
      <c r="K86" s="2">
        <f>SalesData[[#This Row],[Quantity]]*SalesData[[#This Row],[Unit Price]]*(1-SalesData[[#This Row],[Discount (%)]]/100)</f>
        <v>7564.5839999999998</v>
      </c>
    </row>
    <row r="87" spans="1:11" x14ac:dyDescent="0.3">
      <c r="A87" s="6">
        <v>46113</v>
      </c>
      <c r="B87" s="1" t="s">
        <v>169</v>
      </c>
      <c r="C87" s="1" t="s">
        <v>69</v>
      </c>
      <c r="D87" s="1" t="s">
        <v>35</v>
      </c>
      <c r="E87" s="1" t="s">
        <v>29</v>
      </c>
      <c r="F87" s="1" t="s">
        <v>39</v>
      </c>
      <c r="G87" s="1">
        <v>2</v>
      </c>
      <c r="H87" s="2">
        <v>196.91</v>
      </c>
      <c r="I87" s="1">
        <v>15</v>
      </c>
      <c r="J87" s="1" t="s">
        <v>26</v>
      </c>
      <c r="K87" s="2">
        <f>SalesData[[#This Row],[Quantity]]*SalesData[[#This Row],[Unit Price]]*(1-SalesData[[#This Row],[Discount (%)]]/100)</f>
        <v>334.74699999999996</v>
      </c>
    </row>
    <row r="88" spans="1:11" x14ac:dyDescent="0.3">
      <c r="A88" s="6">
        <v>46166</v>
      </c>
      <c r="B88" s="1" t="s">
        <v>170</v>
      </c>
      <c r="C88" s="1" t="s">
        <v>69</v>
      </c>
      <c r="D88" s="1" t="s">
        <v>23</v>
      </c>
      <c r="E88" s="1" t="s">
        <v>24</v>
      </c>
      <c r="F88" s="1" t="s">
        <v>25</v>
      </c>
      <c r="G88" s="1">
        <v>9</v>
      </c>
      <c r="H88" s="2">
        <v>527.09</v>
      </c>
      <c r="I88" s="1">
        <v>0</v>
      </c>
      <c r="J88" s="1" t="s">
        <v>26</v>
      </c>
      <c r="K88" s="2">
        <f>SalesData[[#This Row],[Quantity]]*SalesData[[#This Row],[Unit Price]]*(1-SalesData[[#This Row],[Discount (%)]]/100)</f>
        <v>4743.8100000000004</v>
      </c>
    </row>
    <row r="89" spans="1:11" x14ac:dyDescent="0.3">
      <c r="A89" s="6">
        <v>46170</v>
      </c>
      <c r="B89" s="1" t="s">
        <v>171</v>
      </c>
      <c r="C89" s="1" t="s">
        <v>53</v>
      </c>
      <c r="D89" s="1" t="s">
        <v>12</v>
      </c>
      <c r="E89" s="1" t="s">
        <v>50</v>
      </c>
      <c r="F89" s="1" t="s">
        <v>58</v>
      </c>
      <c r="G89" s="1">
        <v>4</v>
      </c>
      <c r="H89" s="2">
        <v>1105.1500000000001</v>
      </c>
      <c r="I89" s="1">
        <v>15</v>
      </c>
      <c r="J89" s="1" t="s">
        <v>76</v>
      </c>
      <c r="K89" s="2">
        <f>SalesData[[#This Row],[Quantity]]*SalesData[[#This Row],[Unit Price]]*(1-SalesData[[#This Row],[Discount (%)]]/100)</f>
        <v>3757.51</v>
      </c>
    </row>
    <row r="90" spans="1:11" x14ac:dyDescent="0.3">
      <c r="A90" s="6">
        <v>46108</v>
      </c>
      <c r="B90" s="1" t="s">
        <v>172</v>
      </c>
      <c r="C90" s="1" t="s">
        <v>173</v>
      </c>
      <c r="D90" s="1" t="s">
        <v>23</v>
      </c>
      <c r="E90" s="1" t="s">
        <v>50</v>
      </c>
      <c r="F90" s="1" t="s">
        <v>63</v>
      </c>
      <c r="G90" s="1">
        <v>9</v>
      </c>
      <c r="H90" s="2">
        <v>146.38999999999999</v>
      </c>
      <c r="I90" s="1">
        <v>5</v>
      </c>
      <c r="J90" s="1" t="s">
        <v>83</v>
      </c>
      <c r="K90" s="2">
        <f>SalesData[[#This Row],[Quantity]]*SalesData[[#This Row],[Unit Price]]*(1-SalesData[[#This Row],[Discount (%)]]/100)</f>
        <v>1251.6344999999997</v>
      </c>
    </row>
    <row r="91" spans="1:11" x14ac:dyDescent="0.3">
      <c r="A91" s="6">
        <v>46184</v>
      </c>
      <c r="B91" s="1" t="s">
        <v>174</v>
      </c>
      <c r="C91" s="1" t="s">
        <v>175</v>
      </c>
      <c r="D91" s="1" t="s">
        <v>35</v>
      </c>
      <c r="E91" s="1" t="s">
        <v>24</v>
      </c>
      <c r="F91" s="1" t="s">
        <v>43</v>
      </c>
      <c r="G91" s="1">
        <v>1</v>
      </c>
      <c r="H91" s="2">
        <v>252.77</v>
      </c>
      <c r="I91" s="1">
        <v>0</v>
      </c>
      <c r="J91" s="1" t="s">
        <v>20</v>
      </c>
      <c r="K91" s="2">
        <f>SalesData[[#This Row],[Quantity]]*SalesData[[#This Row],[Unit Price]]*(1-SalesData[[#This Row],[Discount (%)]]/100)</f>
        <v>252.77</v>
      </c>
    </row>
    <row r="92" spans="1:11" x14ac:dyDescent="0.3">
      <c r="A92" s="6">
        <v>46105</v>
      </c>
      <c r="B92" s="1" t="s">
        <v>176</v>
      </c>
      <c r="C92" s="1" t="s">
        <v>177</v>
      </c>
      <c r="D92" s="1" t="s">
        <v>18</v>
      </c>
      <c r="E92" s="1" t="s">
        <v>29</v>
      </c>
      <c r="F92" s="1" t="s">
        <v>30</v>
      </c>
      <c r="G92" s="1">
        <v>9</v>
      </c>
      <c r="H92" s="2">
        <v>293.5</v>
      </c>
      <c r="I92" s="1">
        <v>0</v>
      </c>
      <c r="J92" s="1" t="s">
        <v>26</v>
      </c>
      <c r="K92" s="2">
        <f>SalesData[[#This Row],[Quantity]]*SalesData[[#This Row],[Unit Price]]*(1-SalesData[[#This Row],[Discount (%)]]/100)</f>
        <v>2641.5</v>
      </c>
    </row>
    <row r="93" spans="1:11" x14ac:dyDescent="0.3">
      <c r="A93" s="6">
        <v>46217</v>
      </c>
      <c r="B93" s="1" t="s">
        <v>178</v>
      </c>
      <c r="C93" s="1" t="s">
        <v>179</v>
      </c>
      <c r="D93" s="1" t="s">
        <v>18</v>
      </c>
      <c r="E93" s="1" t="s">
        <v>50</v>
      </c>
      <c r="F93" s="1" t="s">
        <v>63</v>
      </c>
      <c r="G93" s="1">
        <v>7</v>
      </c>
      <c r="H93" s="2">
        <v>385.77</v>
      </c>
      <c r="I93" s="1">
        <v>10</v>
      </c>
      <c r="J93" s="1" t="s">
        <v>26</v>
      </c>
      <c r="K93" s="2">
        <f>SalesData[[#This Row],[Quantity]]*SalesData[[#This Row],[Unit Price]]*(1-SalesData[[#This Row],[Discount (%)]]/100)</f>
        <v>2430.3510000000001</v>
      </c>
    </row>
    <row r="94" spans="1:11" x14ac:dyDescent="0.3">
      <c r="A94" s="6">
        <v>46167</v>
      </c>
      <c r="B94" s="1" t="s">
        <v>180</v>
      </c>
      <c r="C94" s="1" t="s">
        <v>181</v>
      </c>
      <c r="D94" s="1" t="s">
        <v>18</v>
      </c>
      <c r="E94" s="1" t="s">
        <v>50</v>
      </c>
      <c r="F94" s="1" t="s">
        <v>58</v>
      </c>
      <c r="G94" s="1">
        <v>8</v>
      </c>
      <c r="H94" s="2">
        <v>925.37</v>
      </c>
      <c r="I94" s="1">
        <v>0</v>
      </c>
      <c r="J94" s="1" t="s">
        <v>26</v>
      </c>
      <c r="K94" s="2">
        <f>SalesData[[#This Row],[Quantity]]*SalesData[[#This Row],[Unit Price]]*(1-SalesData[[#This Row],[Discount (%)]]/100)</f>
        <v>7402.96</v>
      </c>
    </row>
    <row r="95" spans="1:11" x14ac:dyDescent="0.3">
      <c r="A95" s="6">
        <v>46194</v>
      </c>
      <c r="B95" s="1" t="s">
        <v>182</v>
      </c>
      <c r="C95" s="1" t="s">
        <v>67</v>
      </c>
      <c r="D95" s="1" t="s">
        <v>12</v>
      </c>
      <c r="E95" s="1" t="s">
        <v>24</v>
      </c>
      <c r="F95" s="1" t="s">
        <v>36</v>
      </c>
      <c r="G95" s="1">
        <v>6</v>
      </c>
      <c r="H95" s="2">
        <v>505.36</v>
      </c>
      <c r="I95" s="1">
        <v>0</v>
      </c>
      <c r="J95" s="1" t="s">
        <v>26</v>
      </c>
      <c r="K95" s="2">
        <f>SalesData[[#This Row],[Quantity]]*SalesData[[#This Row],[Unit Price]]*(1-SalesData[[#This Row],[Discount (%)]]/100)</f>
        <v>3032.16</v>
      </c>
    </row>
    <row r="96" spans="1:11" x14ac:dyDescent="0.3">
      <c r="A96" s="6">
        <v>46233</v>
      </c>
      <c r="B96" s="1" t="s">
        <v>183</v>
      </c>
      <c r="C96" s="1" t="s">
        <v>184</v>
      </c>
      <c r="D96" s="1" t="s">
        <v>35</v>
      </c>
      <c r="E96" s="1" t="s">
        <v>50</v>
      </c>
      <c r="F96" s="1" t="s">
        <v>58</v>
      </c>
      <c r="G96" s="1">
        <v>9</v>
      </c>
      <c r="H96" s="2">
        <v>495.19</v>
      </c>
      <c r="I96" s="1">
        <v>5</v>
      </c>
      <c r="J96" s="1" t="s">
        <v>26</v>
      </c>
      <c r="K96" s="2">
        <f>SalesData[[#This Row],[Quantity]]*SalesData[[#This Row],[Unit Price]]*(1-SalesData[[#This Row],[Discount (%)]]/100)</f>
        <v>4233.8744999999999</v>
      </c>
    </row>
    <row r="97" spans="1:11" x14ac:dyDescent="0.3">
      <c r="A97" s="6">
        <v>46126</v>
      </c>
      <c r="B97" s="1" t="s">
        <v>185</v>
      </c>
      <c r="C97" s="1" t="s">
        <v>55</v>
      </c>
      <c r="D97" s="1" t="s">
        <v>35</v>
      </c>
      <c r="E97" s="1" t="s">
        <v>29</v>
      </c>
      <c r="F97" s="1" t="s">
        <v>65</v>
      </c>
      <c r="G97" s="1">
        <v>5</v>
      </c>
      <c r="H97" s="2">
        <v>600.87</v>
      </c>
      <c r="I97" s="1">
        <v>15</v>
      </c>
      <c r="J97" s="1" t="s">
        <v>15</v>
      </c>
      <c r="K97" s="2">
        <f>SalesData[[#This Row],[Quantity]]*SalesData[[#This Row],[Unit Price]]*(1-SalesData[[#This Row],[Discount (%)]]/100)</f>
        <v>2553.6974999999998</v>
      </c>
    </row>
    <row r="98" spans="1:11" x14ac:dyDescent="0.3">
      <c r="A98" s="6">
        <v>46119</v>
      </c>
      <c r="B98" s="1" t="s">
        <v>186</v>
      </c>
      <c r="C98" s="1" t="s">
        <v>187</v>
      </c>
      <c r="D98" s="1" t="s">
        <v>12</v>
      </c>
      <c r="E98" s="1" t="s">
        <v>13</v>
      </c>
      <c r="F98" s="1" t="s">
        <v>14</v>
      </c>
      <c r="G98" s="1">
        <v>7</v>
      </c>
      <c r="H98" s="2">
        <v>717.21</v>
      </c>
      <c r="I98" s="1">
        <v>15</v>
      </c>
      <c r="J98" s="1" t="s">
        <v>83</v>
      </c>
      <c r="K98" s="2">
        <f>SalesData[[#This Row],[Quantity]]*SalesData[[#This Row],[Unit Price]]*(1-SalesData[[#This Row],[Discount (%)]]/100)</f>
        <v>4267.3995000000004</v>
      </c>
    </row>
    <row r="99" spans="1:11" x14ac:dyDescent="0.3">
      <c r="A99" s="6">
        <v>46195</v>
      </c>
      <c r="B99" s="1" t="s">
        <v>188</v>
      </c>
      <c r="C99" s="1" t="s">
        <v>189</v>
      </c>
      <c r="D99" s="1" t="s">
        <v>18</v>
      </c>
      <c r="E99" s="1" t="s">
        <v>29</v>
      </c>
      <c r="F99" s="1" t="s">
        <v>65</v>
      </c>
      <c r="G99" s="1">
        <v>9</v>
      </c>
      <c r="H99" s="2">
        <v>1188.77</v>
      </c>
      <c r="I99" s="1">
        <v>10</v>
      </c>
      <c r="J99" s="1" t="s">
        <v>15</v>
      </c>
      <c r="K99" s="2">
        <f>SalesData[[#This Row],[Quantity]]*SalesData[[#This Row],[Unit Price]]*(1-SalesData[[#This Row],[Discount (%)]]/100)</f>
        <v>9629.0370000000003</v>
      </c>
    </row>
    <row r="100" spans="1:11" x14ac:dyDescent="0.3">
      <c r="A100" s="6">
        <v>46205</v>
      </c>
      <c r="B100" s="1" t="s">
        <v>190</v>
      </c>
      <c r="C100" s="1" t="s">
        <v>191</v>
      </c>
      <c r="D100" s="1" t="s">
        <v>23</v>
      </c>
      <c r="E100" s="1" t="s">
        <v>29</v>
      </c>
      <c r="F100" s="1" t="s">
        <v>65</v>
      </c>
      <c r="G100" s="1">
        <v>6</v>
      </c>
      <c r="H100" s="2">
        <v>154.77000000000001</v>
      </c>
      <c r="I100" s="1">
        <v>0</v>
      </c>
      <c r="J100" s="1" t="s">
        <v>20</v>
      </c>
      <c r="K100" s="2">
        <f>SalesData[[#This Row],[Quantity]]*SalesData[[#This Row],[Unit Price]]*(1-SalesData[[#This Row],[Discount (%)]]/100)</f>
        <v>928.62000000000012</v>
      </c>
    </row>
    <row r="101" spans="1:11" x14ac:dyDescent="0.3">
      <c r="A101" s="6">
        <v>46075</v>
      </c>
      <c r="B101" s="1" t="s">
        <v>192</v>
      </c>
      <c r="C101" s="1" t="s">
        <v>141</v>
      </c>
      <c r="D101" s="1" t="s">
        <v>18</v>
      </c>
      <c r="E101" s="1" t="s">
        <v>24</v>
      </c>
      <c r="F101" s="1" t="s">
        <v>36</v>
      </c>
      <c r="G101" s="1">
        <v>9</v>
      </c>
      <c r="H101" s="2">
        <v>938.37</v>
      </c>
      <c r="I101" s="1">
        <v>15</v>
      </c>
      <c r="J101" s="1" t="s">
        <v>20</v>
      </c>
      <c r="K101" s="2">
        <f>SalesData[[#This Row],[Quantity]]*SalesData[[#This Row],[Unit Price]]*(1-SalesData[[#This Row],[Discount (%)]]/100)</f>
        <v>7178.5304999999998</v>
      </c>
    </row>
    <row r="102" spans="1:11" x14ac:dyDescent="0.3">
      <c r="A102" s="6">
        <v>46105</v>
      </c>
      <c r="B102" s="1" t="s">
        <v>193</v>
      </c>
      <c r="C102" s="1" t="s">
        <v>194</v>
      </c>
      <c r="D102" s="1" t="s">
        <v>12</v>
      </c>
      <c r="E102" s="1" t="s">
        <v>24</v>
      </c>
      <c r="F102" s="1" t="s">
        <v>43</v>
      </c>
      <c r="G102" s="1">
        <v>1</v>
      </c>
      <c r="H102" s="2">
        <v>15.63</v>
      </c>
      <c r="I102" s="1">
        <v>10</v>
      </c>
      <c r="J102" s="1" t="s">
        <v>40</v>
      </c>
      <c r="K102" s="2">
        <f>SalesData[[#This Row],[Quantity]]*SalesData[[#This Row],[Unit Price]]*(1-SalesData[[#This Row],[Discount (%)]]/100)</f>
        <v>14.067</v>
      </c>
    </row>
    <row r="103" spans="1:11" x14ac:dyDescent="0.3">
      <c r="A103" s="6">
        <v>46191</v>
      </c>
      <c r="B103" s="1" t="s">
        <v>195</v>
      </c>
      <c r="C103" s="1" t="s">
        <v>189</v>
      </c>
      <c r="D103" s="1" t="s">
        <v>23</v>
      </c>
      <c r="E103" s="1" t="s">
        <v>29</v>
      </c>
      <c r="F103" s="1" t="s">
        <v>65</v>
      </c>
      <c r="G103" s="1">
        <v>7</v>
      </c>
      <c r="H103" s="2">
        <v>483.72</v>
      </c>
      <c r="I103" s="1">
        <v>0</v>
      </c>
      <c r="J103" s="1" t="s">
        <v>20</v>
      </c>
      <c r="K103" s="2">
        <f>SalesData[[#This Row],[Quantity]]*SalesData[[#This Row],[Unit Price]]*(1-SalesData[[#This Row],[Discount (%)]]/100)</f>
        <v>3386.04</v>
      </c>
    </row>
    <row r="104" spans="1:11" x14ac:dyDescent="0.3">
      <c r="A104" s="6">
        <v>46197</v>
      </c>
      <c r="B104" s="1" t="s">
        <v>196</v>
      </c>
      <c r="C104" s="1" t="s">
        <v>177</v>
      </c>
      <c r="D104" s="1" t="s">
        <v>18</v>
      </c>
      <c r="E104" s="1" t="s">
        <v>13</v>
      </c>
      <c r="F104" s="1" t="s">
        <v>14</v>
      </c>
      <c r="G104" s="1">
        <v>2</v>
      </c>
      <c r="H104" s="2">
        <v>141.54</v>
      </c>
      <c r="I104" s="1">
        <v>5</v>
      </c>
      <c r="J104" s="1" t="s">
        <v>83</v>
      </c>
      <c r="K104" s="2">
        <f>SalesData[[#This Row],[Quantity]]*SalesData[[#This Row],[Unit Price]]*(1-SalesData[[#This Row],[Discount (%)]]/100)</f>
        <v>268.92599999999999</v>
      </c>
    </row>
    <row r="105" spans="1:11" x14ac:dyDescent="0.3">
      <c r="A105" s="6">
        <v>46121</v>
      </c>
      <c r="B105" s="1" t="s">
        <v>197</v>
      </c>
      <c r="C105" s="1" t="s">
        <v>11</v>
      </c>
      <c r="D105" s="1" t="s">
        <v>18</v>
      </c>
      <c r="E105" s="1" t="s">
        <v>24</v>
      </c>
      <c r="F105" s="1" t="s">
        <v>25</v>
      </c>
      <c r="G105" s="1">
        <v>3</v>
      </c>
      <c r="H105" s="2">
        <v>182.68</v>
      </c>
      <c r="I105" s="1">
        <v>0</v>
      </c>
      <c r="J105" s="1" t="s">
        <v>20</v>
      </c>
      <c r="K105" s="2">
        <f>SalesData[[#This Row],[Quantity]]*SalesData[[#This Row],[Unit Price]]*(1-SalesData[[#This Row],[Discount (%)]]/100)</f>
        <v>548.04</v>
      </c>
    </row>
    <row r="106" spans="1:11" x14ac:dyDescent="0.3">
      <c r="A106" s="6">
        <v>46233</v>
      </c>
      <c r="B106" s="1" t="s">
        <v>198</v>
      </c>
      <c r="C106" s="1" t="s">
        <v>57</v>
      </c>
      <c r="D106" s="1" t="s">
        <v>12</v>
      </c>
      <c r="E106" s="1" t="s">
        <v>50</v>
      </c>
      <c r="F106" s="1" t="s">
        <v>58</v>
      </c>
      <c r="G106" s="1">
        <v>3</v>
      </c>
      <c r="H106" s="2">
        <v>1168.52</v>
      </c>
      <c r="I106" s="1">
        <v>10</v>
      </c>
      <c r="J106" s="1" t="s">
        <v>26</v>
      </c>
      <c r="K106" s="2">
        <f>SalesData[[#This Row],[Quantity]]*SalesData[[#This Row],[Unit Price]]*(1-SalesData[[#This Row],[Discount (%)]]/100)</f>
        <v>3155.0039999999999</v>
      </c>
    </row>
    <row r="107" spans="1:11" x14ac:dyDescent="0.3">
      <c r="A107" s="6">
        <v>46085</v>
      </c>
      <c r="B107" s="1" t="s">
        <v>199</v>
      </c>
      <c r="C107" s="1" t="s">
        <v>86</v>
      </c>
      <c r="D107" s="1" t="s">
        <v>18</v>
      </c>
      <c r="E107" s="1" t="s">
        <v>24</v>
      </c>
      <c r="F107" s="1" t="s">
        <v>36</v>
      </c>
      <c r="G107" s="1">
        <v>8</v>
      </c>
      <c r="H107" s="2">
        <v>898.35</v>
      </c>
      <c r="I107" s="1">
        <v>5</v>
      </c>
      <c r="J107" s="1" t="s">
        <v>26</v>
      </c>
      <c r="K107" s="2">
        <f>SalesData[[#This Row],[Quantity]]*SalesData[[#This Row],[Unit Price]]*(1-SalesData[[#This Row],[Discount (%)]]/100)</f>
        <v>6827.46</v>
      </c>
    </row>
    <row r="108" spans="1:11" x14ac:dyDescent="0.3">
      <c r="A108" s="6">
        <v>46143</v>
      </c>
      <c r="B108" s="1" t="s">
        <v>200</v>
      </c>
      <c r="C108" s="1" t="s">
        <v>104</v>
      </c>
      <c r="D108" s="1" t="s">
        <v>35</v>
      </c>
      <c r="E108" s="1" t="s">
        <v>13</v>
      </c>
      <c r="F108" s="1" t="s">
        <v>19</v>
      </c>
      <c r="G108" s="1">
        <v>5</v>
      </c>
      <c r="H108" s="2">
        <v>829.57</v>
      </c>
      <c r="I108" s="1">
        <v>5</v>
      </c>
      <c r="J108" s="1" t="s">
        <v>26</v>
      </c>
      <c r="K108" s="2">
        <f>SalesData[[#This Row],[Quantity]]*SalesData[[#This Row],[Unit Price]]*(1-SalesData[[#This Row],[Discount (%)]]/100)</f>
        <v>3940.4575</v>
      </c>
    </row>
    <row r="109" spans="1:11" x14ac:dyDescent="0.3">
      <c r="A109" s="6">
        <v>46038</v>
      </c>
      <c r="B109" s="1" t="s">
        <v>201</v>
      </c>
      <c r="C109" s="1" t="s">
        <v>202</v>
      </c>
      <c r="D109" s="1" t="s">
        <v>35</v>
      </c>
      <c r="E109" s="1" t="s">
        <v>13</v>
      </c>
      <c r="F109" s="1" t="s">
        <v>19</v>
      </c>
      <c r="G109" s="1">
        <v>2</v>
      </c>
      <c r="H109" s="2">
        <v>239.25</v>
      </c>
      <c r="I109" s="1">
        <v>15</v>
      </c>
      <c r="J109" s="1" t="s">
        <v>20</v>
      </c>
      <c r="K109" s="2">
        <f>SalesData[[#This Row],[Quantity]]*SalesData[[#This Row],[Unit Price]]*(1-SalesData[[#This Row],[Discount (%)]]/100)</f>
        <v>406.72499999999997</v>
      </c>
    </row>
    <row r="110" spans="1:11" x14ac:dyDescent="0.3">
      <c r="A110" s="6">
        <v>46228</v>
      </c>
      <c r="B110" s="1" t="s">
        <v>203</v>
      </c>
      <c r="C110" s="1" t="s">
        <v>143</v>
      </c>
      <c r="D110" s="1" t="s">
        <v>23</v>
      </c>
      <c r="E110" s="1" t="s">
        <v>13</v>
      </c>
      <c r="F110" s="1" t="s">
        <v>14</v>
      </c>
      <c r="G110" s="1">
        <v>5</v>
      </c>
      <c r="H110" s="2">
        <v>143.22999999999999</v>
      </c>
      <c r="I110" s="1">
        <v>10</v>
      </c>
      <c r="J110" s="1" t="s">
        <v>20</v>
      </c>
      <c r="K110" s="2">
        <f>SalesData[[#This Row],[Quantity]]*SalesData[[#This Row],[Unit Price]]*(1-SalesData[[#This Row],[Discount (%)]]/100)</f>
        <v>644.53499999999997</v>
      </c>
    </row>
    <row r="111" spans="1:11" x14ac:dyDescent="0.3">
      <c r="A111" s="6">
        <v>46091</v>
      </c>
      <c r="B111" s="1" t="s">
        <v>204</v>
      </c>
      <c r="C111" s="1" t="s">
        <v>34</v>
      </c>
      <c r="D111" s="1" t="s">
        <v>35</v>
      </c>
      <c r="E111" s="1" t="s">
        <v>50</v>
      </c>
      <c r="F111" s="1" t="s">
        <v>58</v>
      </c>
      <c r="G111" s="1">
        <v>10</v>
      </c>
      <c r="H111" s="2">
        <v>934.05</v>
      </c>
      <c r="I111" s="1">
        <v>15</v>
      </c>
      <c r="J111" s="1" t="s">
        <v>26</v>
      </c>
      <c r="K111" s="2">
        <f>SalesData[[#This Row],[Quantity]]*SalesData[[#This Row],[Unit Price]]*(1-SalesData[[#This Row],[Discount (%)]]/100)</f>
        <v>7939.4250000000002</v>
      </c>
    </row>
    <row r="112" spans="1:11" x14ac:dyDescent="0.3">
      <c r="A112" s="6">
        <v>46162</v>
      </c>
      <c r="B112" s="1" t="s">
        <v>205</v>
      </c>
      <c r="C112" s="1" t="s">
        <v>120</v>
      </c>
      <c r="D112" s="1" t="s">
        <v>18</v>
      </c>
      <c r="E112" s="1" t="s">
        <v>13</v>
      </c>
      <c r="F112" s="1" t="s">
        <v>19</v>
      </c>
      <c r="G112" s="1">
        <v>10</v>
      </c>
      <c r="H112" s="2">
        <v>866.49</v>
      </c>
      <c r="I112" s="1">
        <v>0</v>
      </c>
      <c r="J112" s="1" t="s">
        <v>83</v>
      </c>
      <c r="K112" s="2">
        <f>SalesData[[#This Row],[Quantity]]*SalesData[[#This Row],[Unit Price]]*(1-SalesData[[#This Row],[Discount (%)]]/100)</f>
        <v>8664.9</v>
      </c>
    </row>
    <row r="113" spans="1:11" x14ac:dyDescent="0.3">
      <c r="A113" s="6">
        <v>46233</v>
      </c>
      <c r="B113" s="1" t="s">
        <v>206</v>
      </c>
      <c r="C113" s="1" t="s">
        <v>11</v>
      </c>
      <c r="D113" s="1" t="s">
        <v>18</v>
      </c>
      <c r="E113" s="1" t="s">
        <v>29</v>
      </c>
      <c r="F113" s="1" t="s">
        <v>39</v>
      </c>
      <c r="G113" s="1">
        <v>9</v>
      </c>
      <c r="H113" s="2">
        <v>242.66</v>
      </c>
      <c r="I113" s="1">
        <v>5</v>
      </c>
      <c r="J113" s="1" t="s">
        <v>15</v>
      </c>
      <c r="K113" s="2">
        <f>SalesData[[#This Row],[Quantity]]*SalesData[[#This Row],[Unit Price]]*(1-SalesData[[#This Row],[Discount (%)]]/100)</f>
        <v>2074.7429999999999</v>
      </c>
    </row>
    <row r="114" spans="1:11" x14ac:dyDescent="0.3">
      <c r="A114" s="6">
        <v>46192</v>
      </c>
      <c r="B114" s="1" t="s">
        <v>207</v>
      </c>
      <c r="C114" s="1" t="s">
        <v>189</v>
      </c>
      <c r="D114" s="1" t="s">
        <v>12</v>
      </c>
      <c r="E114" s="1" t="s">
        <v>50</v>
      </c>
      <c r="F114" s="1" t="s">
        <v>72</v>
      </c>
      <c r="G114" s="1">
        <v>6</v>
      </c>
      <c r="H114" s="2">
        <v>665.15</v>
      </c>
      <c r="I114" s="1">
        <v>15</v>
      </c>
      <c r="J114" s="1" t="s">
        <v>26</v>
      </c>
      <c r="K114" s="2">
        <f>SalesData[[#This Row],[Quantity]]*SalesData[[#This Row],[Unit Price]]*(1-SalesData[[#This Row],[Discount (%)]]/100)</f>
        <v>3392.2649999999994</v>
      </c>
    </row>
    <row r="115" spans="1:11" x14ac:dyDescent="0.3">
      <c r="A115" s="6">
        <v>46077</v>
      </c>
      <c r="B115" s="1" t="s">
        <v>208</v>
      </c>
      <c r="C115" s="1" t="s">
        <v>17</v>
      </c>
      <c r="D115" s="1" t="s">
        <v>18</v>
      </c>
      <c r="E115" s="1" t="s">
        <v>13</v>
      </c>
      <c r="F115" s="1" t="s">
        <v>14</v>
      </c>
      <c r="G115" s="1">
        <v>5</v>
      </c>
      <c r="H115" s="2">
        <v>410.97</v>
      </c>
      <c r="I115" s="1">
        <v>0</v>
      </c>
      <c r="J115" s="1" t="s">
        <v>40</v>
      </c>
      <c r="K115" s="2">
        <f>SalesData[[#This Row],[Quantity]]*SalesData[[#This Row],[Unit Price]]*(1-SalesData[[#This Row],[Discount (%)]]/100)</f>
        <v>2054.8500000000004</v>
      </c>
    </row>
    <row r="116" spans="1:11" x14ac:dyDescent="0.3">
      <c r="A116" s="6">
        <v>46218</v>
      </c>
      <c r="B116" s="1" t="s">
        <v>209</v>
      </c>
      <c r="C116" s="1" t="s">
        <v>143</v>
      </c>
      <c r="D116" s="1" t="s">
        <v>35</v>
      </c>
      <c r="E116" s="1" t="s">
        <v>24</v>
      </c>
      <c r="F116" s="1" t="s">
        <v>43</v>
      </c>
      <c r="G116" s="1">
        <v>3</v>
      </c>
      <c r="H116" s="2">
        <v>52.02</v>
      </c>
      <c r="I116" s="1">
        <v>0</v>
      </c>
      <c r="J116" s="1" t="s">
        <v>15</v>
      </c>
      <c r="K116" s="2">
        <f>SalesData[[#This Row],[Quantity]]*SalesData[[#This Row],[Unit Price]]*(1-SalesData[[#This Row],[Discount (%)]]/100)</f>
        <v>156.06</v>
      </c>
    </row>
    <row r="117" spans="1:11" x14ac:dyDescent="0.3">
      <c r="A117" s="6">
        <v>46037</v>
      </c>
      <c r="B117" s="1" t="s">
        <v>210</v>
      </c>
      <c r="C117" s="1" t="s">
        <v>149</v>
      </c>
      <c r="D117" s="1" t="s">
        <v>18</v>
      </c>
      <c r="E117" s="1" t="s">
        <v>29</v>
      </c>
      <c r="F117" s="1" t="s">
        <v>65</v>
      </c>
      <c r="G117" s="1">
        <v>9</v>
      </c>
      <c r="H117" s="2">
        <v>464.98</v>
      </c>
      <c r="I117" s="1">
        <v>0</v>
      </c>
      <c r="J117" s="1" t="s">
        <v>15</v>
      </c>
      <c r="K117" s="2">
        <f>SalesData[[#This Row],[Quantity]]*SalesData[[#This Row],[Unit Price]]*(1-SalesData[[#This Row],[Discount (%)]]/100)</f>
        <v>4184.82</v>
      </c>
    </row>
    <row r="118" spans="1:11" x14ac:dyDescent="0.3">
      <c r="A118" s="6">
        <v>46141</v>
      </c>
      <c r="B118" s="1" t="s">
        <v>211</v>
      </c>
      <c r="C118" s="1" t="s">
        <v>187</v>
      </c>
      <c r="D118" s="1" t="s">
        <v>23</v>
      </c>
      <c r="E118" s="1" t="s">
        <v>50</v>
      </c>
      <c r="F118" s="1" t="s">
        <v>63</v>
      </c>
      <c r="G118" s="1">
        <v>1</v>
      </c>
      <c r="H118" s="2">
        <v>272.16000000000003</v>
      </c>
      <c r="I118" s="1">
        <v>15</v>
      </c>
      <c r="J118" s="1" t="s">
        <v>83</v>
      </c>
      <c r="K118" s="2">
        <f>SalesData[[#This Row],[Quantity]]*SalesData[[#This Row],[Unit Price]]*(1-SalesData[[#This Row],[Discount (%)]]/100)</f>
        <v>231.33600000000001</v>
      </c>
    </row>
    <row r="119" spans="1:11" x14ac:dyDescent="0.3">
      <c r="A119" s="6">
        <v>46108</v>
      </c>
      <c r="B119" s="1" t="s">
        <v>212</v>
      </c>
      <c r="C119" s="1" t="s">
        <v>141</v>
      </c>
      <c r="D119" s="1" t="s">
        <v>23</v>
      </c>
      <c r="E119" s="1" t="s">
        <v>29</v>
      </c>
      <c r="F119" s="1" t="s">
        <v>30</v>
      </c>
      <c r="G119" s="1">
        <v>5</v>
      </c>
      <c r="H119" s="2">
        <v>417.25</v>
      </c>
      <c r="I119" s="1">
        <v>10</v>
      </c>
      <c r="J119" s="1" t="s">
        <v>15</v>
      </c>
      <c r="K119" s="2">
        <f>SalesData[[#This Row],[Quantity]]*SalesData[[#This Row],[Unit Price]]*(1-SalesData[[#This Row],[Discount (%)]]/100)</f>
        <v>1877.625</v>
      </c>
    </row>
    <row r="120" spans="1:11" x14ac:dyDescent="0.3">
      <c r="A120" s="6">
        <v>46048</v>
      </c>
      <c r="B120" s="1" t="s">
        <v>213</v>
      </c>
      <c r="C120" s="1" t="s">
        <v>214</v>
      </c>
      <c r="D120" s="1" t="s">
        <v>35</v>
      </c>
      <c r="E120" s="1" t="s">
        <v>29</v>
      </c>
      <c r="F120" s="1" t="s">
        <v>30</v>
      </c>
      <c r="G120" s="1">
        <v>4</v>
      </c>
      <c r="H120" s="2">
        <v>79.12</v>
      </c>
      <c r="I120" s="1">
        <v>15</v>
      </c>
      <c r="J120" s="1" t="s">
        <v>40</v>
      </c>
      <c r="K120" s="2">
        <f>SalesData[[#This Row],[Quantity]]*SalesData[[#This Row],[Unit Price]]*(1-SalesData[[#This Row],[Discount (%)]]/100)</f>
        <v>269.00799999999998</v>
      </c>
    </row>
    <row r="121" spans="1:11" x14ac:dyDescent="0.3">
      <c r="A121" s="6">
        <v>46043</v>
      </c>
      <c r="B121" s="1" t="s">
        <v>215</v>
      </c>
      <c r="C121" s="1" t="s">
        <v>42</v>
      </c>
      <c r="D121" s="1" t="s">
        <v>35</v>
      </c>
      <c r="E121" s="1" t="s">
        <v>13</v>
      </c>
      <c r="F121" s="1" t="s">
        <v>14</v>
      </c>
      <c r="G121" s="1">
        <v>6</v>
      </c>
      <c r="H121" s="2">
        <v>22.12</v>
      </c>
      <c r="I121" s="1">
        <v>10</v>
      </c>
      <c r="J121" s="1" t="s">
        <v>76</v>
      </c>
      <c r="K121" s="2">
        <f>SalesData[[#This Row],[Quantity]]*SalesData[[#This Row],[Unit Price]]*(1-SalesData[[#This Row],[Discount (%)]]/100)</f>
        <v>119.44800000000001</v>
      </c>
    </row>
    <row r="122" spans="1:11" x14ac:dyDescent="0.3">
      <c r="A122" s="6">
        <v>46049</v>
      </c>
      <c r="B122" s="1" t="s">
        <v>216</v>
      </c>
      <c r="C122" s="1" t="s">
        <v>177</v>
      </c>
      <c r="D122" s="1" t="s">
        <v>12</v>
      </c>
      <c r="E122" s="1" t="s">
        <v>29</v>
      </c>
      <c r="F122" s="1" t="s">
        <v>39</v>
      </c>
      <c r="G122" s="1">
        <v>10</v>
      </c>
      <c r="H122" s="2">
        <v>752.55</v>
      </c>
      <c r="I122" s="1">
        <v>15</v>
      </c>
      <c r="J122" s="1" t="s">
        <v>26</v>
      </c>
      <c r="K122" s="2">
        <f>SalesData[[#This Row],[Quantity]]*SalesData[[#This Row],[Unit Price]]*(1-SalesData[[#This Row],[Discount (%)]]/100)</f>
        <v>6396.6750000000002</v>
      </c>
    </row>
    <row r="123" spans="1:11" x14ac:dyDescent="0.3">
      <c r="A123" s="6">
        <v>46039</v>
      </c>
      <c r="B123" s="1" t="s">
        <v>217</v>
      </c>
      <c r="C123" s="1" t="s">
        <v>71</v>
      </c>
      <c r="D123" s="1" t="s">
        <v>23</v>
      </c>
      <c r="E123" s="1" t="s">
        <v>50</v>
      </c>
      <c r="F123" s="1" t="s">
        <v>63</v>
      </c>
      <c r="G123" s="1">
        <v>1</v>
      </c>
      <c r="H123" s="2">
        <v>403.18</v>
      </c>
      <c r="I123" s="1">
        <v>5</v>
      </c>
      <c r="J123" s="1" t="s">
        <v>26</v>
      </c>
      <c r="K123" s="2">
        <f>SalesData[[#This Row],[Quantity]]*SalesData[[#This Row],[Unit Price]]*(1-SalesData[[#This Row],[Discount (%)]]/100)</f>
        <v>383.02100000000002</v>
      </c>
    </row>
    <row r="124" spans="1:11" x14ac:dyDescent="0.3">
      <c r="A124" s="6">
        <v>46108</v>
      </c>
      <c r="B124" s="1" t="s">
        <v>218</v>
      </c>
      <c r="C124" s="1" t="s">
        <v>219</v>
      </c>
      <c r="D124" s="1" t="s">
        <v>35</v>
      </c>
      <c r="E124" s="1" t="s">
        <v>24</v>
      </c>
      <c r="F124" s="1" t="s">
        <v>43</v>
      </c>
      <c r="G124" s="1">
        <v>8</v>
      </c>
      <c r="H124" s="2">
        <v>72.61</v>
      </c>
      <c r="I124" s="1">
        <v>15</v>
      </c>
      <c r="J124" s="1" t="s">
        <v>26</v>
      </c>
      <c r="K124" s="2">
        <f>SalesData[[#This Row],[Quantity]]*SalesData[[#This Row],[Unit Price]]*(1-SalesData[[#This Row],[Discount (%)]]/100)</f>
        <v>493.74799999999999</v>
      </c>
    </row>
    <row r="125" spans="1:11" x14ac:dyDescent="0.3">
      <c r="A125" s="6">
        <v>46079</v>
      </c>
      <c r="B125" s="1" t="s">
        <v>220</v>
      </c>
      <c r="C125" s="1" t="s">
        <v>120</v>
      </c>
      <c r="D125" s="1" t="s">
        <v>12</v>
      </c>
      <c r="E125" s="1" t="s">
        <v>13</v>
      </c>
      <c r="F125" s="1" t="s">
        <v>19</v>
      </c>
      <c r="G125" s="1">
        <v>8</v>
      </c>
      <c r="H125" s="2">
        <v>724.57</v>
      </c>
      <c r="I125" s="1">
        <v>5</v>
      </c>
      <c r="J125" s="1" t="s">
        <v>40</v>
      </c>
      <c r="K125" s="2">
        <f>SalesData[[#This Row],[Quantity]]*SalesData[[#This Row],[Unit Price]]*(1-SalesData[[#This Row],[Discount (%)]]/100)</f>
        <v>5506.732</v>
      </c>
    </row>
    <row r="126" spans="1:11" x14ac:dyDescent="0.3">
      <c r="A126" s="6">
        <v>46139</v>
      </c>
      <c r="B126" s="1" t="s">
        <v>221</v>
      </c>
      <c r="C126" s="1" t="s">
        <v>222</v>
      </c>
      <c r="D126" s="1" t="s">
        <v>35</v>
      </c>
      <c r="E126" s="1" t="s">
        <v>50</v>
      </c>
      <c r="F126" s="1" t="s">
        <v>63</v>
      </c>
      <c r="G126" s="1">
        <v>3</v>
      </c>
      <c r="H126" s="2">
        <v>262.39</v>
      </c>
      <c r="I126" s="1">
        <v>15</v>
      </c>
      <c r="J126" s="1" t="s">
        <v>40</v>
      </c>
      <c r="K126" s="2">
        <f>SalesData[[#This Row],[Quantity]]*SalesData[[#This Row],[Unit Price]]*(1-SalesData[[#This Row],[Discount (%)]]/100)</f>
        <v>669.09449999999993</v>
      </c>
    </row>
    <row r="127" spans="1:11" x14ac:dyDescent="0.3">
      <c r="A127" s="6">
        <v>46171</v>
      </c>
      <c r="B127" s="1" t="s">
        <v>223</v>
      </c>
      <c r="C127" s="1" t="s">
        <v>138</v>
      </c>
      <c r="D127" s="1" t="s">
        <v>12</v>
      </c>
      <c r="E127" s="1" t="s">
        <v>50</v>
      </c>
      <c r="F127" s="1" t="s">
        <v>58</v>
      </c>
      <c r="G127" s="1">
        <v>4</v>
      </c>
      <c r="H127" s="2">
        <v>13.06</v>
      </c>
      <c r="I127" s="1">
        <v>15</v>
      </c>
      <c r="J127" s="1" t="s">
        <v>26</v>
      </c>
      <c r="K127" s="2">
        <f>SalesData[[#This Row],[Quantity]]*SalesData[[#This Row],[Unit Price]]*(1-SalesData[[#This Row],[Discount (%)]]/100)</f>
        <v>44.404000000000003</v>
      </c>
    </row>
    <row r="128" spans="1:11" x14ac:dyDescent="0.3">
      <c r="A128" s="6">
        <v>46033</v>
      </c>
      <c r="B128" s="1" t="s">
        <v>224</v>
      </c>
      <c r="C128" s="1" t="s">
        <v>82</v>
      </c>
      <c r="D128" s="1" t="s">
        <v>12</v>
      </c>
      <c r="E128" s="1" t="s">
        <v>29</v>
      </c>
      <c r="F128" s="1" t="s">
        <v>39</v>
      </c>
      <c r="G128" s="1">
        <v>4</v>
      </c>
      <c r="H128" s="2">
        <v>63.05</v>
      </c>
      <c r="I128" s="1">
        <v>10</v>
      </c>
      <c r="J128" s="1" t="s">
        <v>26</v>
      </c>
      <c r="K128" s="2">
        <f>SalesData[[#This Row],[Quantity]]*SalesData[[#This Row],[Unit Price]]*(1-SalesData[[#This Row],[Discount (%)]]/100)</f>
        <v>226.98</v>
      </c>
    </row>
    <row r="129" spans="1:11" x14ac:dyDescent="0.3">
      <c r="A129" s="6">
        <v>46149</v>
      </c>
      <c r="B129" s="1" t="s">
        <v>225</v>
      </c>
      <c r="C129" s="1" t="s">
        <v>222</v>
      </c>
      <c r="D129" s="1" t="s">
        <v>12</v>
      </c>
      <c r="E129" s="1" t="s">
        <v>50</v>
      </c>
      <c r="F129" s="1" t="s">
        <v>58</v>
      </c>
      <c r="G129" s="1">
        <v>9</v>
      </c>
      <c r="H129" s="2">
        <v>176.8</v>
      </c>
      <c r="I129" s="1">
        <v>15</v>
      </c>
      <c r="J129" s="1" t="s">
        <v>15</v>
      </c>
      <c r="K129" s="2">
        <f>SalesData[[#This Row],[Quantity]]*SalesData[[#This Row],[Unit Price]]*(1-SalesData[[#This Row],[Discount (%)]]/100)</f>
        <v>1352.52</v>
      </c>
    </row>
    <row r="130" spans="1:11" x14ac:dyDescent="0.3">
      <c r="A130" s="6">
        <v>46209</v>
      </c>
      <c r="B130" s="1" t="s">
        <v>226</v>
      </c>
      <c r="C130" s="1" t="s">
        <v>141</v>
      </c>
      <c r="D130" s="1" t="s">
        <v>23</v>
      </c>
      <c r="E130" s="1" t="s">
        <v>29</v>
      </c>
      <c r="F130" s="1" t="s">
        <v>30</v>
      </c>
      <c r="G130" s="1">
        <v>5</v>
      </c>
      <c r="H130" s="2">
        <v>857.32</v>
      </c>
      <c r="I130" s="1">
        <v>5</v>
      </c>
      <c r="J130" s="1" t="s">
        <v>40</v>
      </c>
      <c r="K130" s="2">
        <f>SalesData[[#This Row],[Quantity]]*SalesData[[#This Row],[Unit Price]]*(1-SalesData[[#This Row],[Discount (%)]]/100)</f>
        <v>4072.27</v>
      </c>
    </row>
    <row r="131" spans="1:11" x14ac:dyDescent="0.3">
      <c r="A131" s="6">
        <v>46132</v>
      </c>
      <c r="B131" s="1" t="s">
        <v>227</v>
      </c>
      <c r="C131" s="1" t="s">
        <v>189</v>
      </c>
      <c r="D131" s="1" t="s">
        <v>23</v>
      </c>
      <c r="E131" s="1" t="s">
        <v>50</v>
      </c>
      <c r="F131" s="1" t="s">
        <v>72</v>
      </c>
      <c r="G131" s="1">
        <v>3</v>
      </c>
      <c r="H131" s="2">
        <v>482.23</v>
      </c>
      <c r="I131" s="1">
        <v>0</v>
      </c>
      <c r="J131" s="1" t="s">
        <v>40</v>
      </c>
      <c r="K131" s="2">
        <f>SalesData[[#This Row],[Quantity]]*SalesData[[#This Row],[Unit Price]]*(1-SalesData[[#This Row],[Discount (%)]]/100)</f>
        <v>1446.69</v>
      </c>
    </row>
    <row r="132" spans="1:11" x14ac:dyDescent="0.3">
      <c r="A132" s="6">
        <v>46141</v>
      </c>
      <c r="B132" s="1" t="s">
        <v>228</v>
      </c>
      <c r="C132" s="1" t="s">
        <v>57</v>
      </c>
      <c r="D132" s="1" t="s">
        <v>23</v>
      </c>
      <c r="E132" s="1" t="s">
        <v>50</v>
      </c>
      <c r="F132" s="1" t="s">
        <v>51</v>
      </c>
      <c r="G132" s="1">
        <v>5</v>
      </c>
      <c r="H132" s="2">
        <v>1032.9000000000001</v>
      </c>
      <c r="I132" s="1">
        <v>5</v>
      </c>
      <c r="J132" s="1" t="s">
        <v>26</v>
      </c>
      <c r="K132" s="2">
        <f>SalesData[[#This Row],[Quantity]]*SalesData[[#This Row],[Unit Price]]*(1-SalesData[[#This Row],[Discount (%)]]/100)</f>
        <v>4906.2749999999996</v>
      </c>
    </row>
    <row r="133" spans="1:11" x14ac:dyDescent="0.3">
      <c r="A133" s="6">
        <v>46040</v>
      </c>
      <c r="B133" s="1" t="s">
        <v>229</v>
      </c>
      <c r="C133" s="1" t="s">
        <v>173</v>
      </c>
      <c r="D133" s="1" t="s">
        <v>23</v>
      </c>
      <c r="E133" s="1" t="s">
        <v>29</v>
      </c>
      <c r="F133" s="1" t="s">
        <v>30</v>
      </c>
      <c r="G133" s="1">
        <v>2</v>
      </c>
      <c r="H133" s="2">
        <v>1064.94</v>
      </c>
      <c r="I133" s="1">
        <v>5</v>
      </c>
      <c r="J133" s="1" t="s">
        <v>20</v>
      </c>
      <c r="K133" s="2">
        <f>SalesData[[#This Row],[Quantity]]*SalesData[[#This Row],[Unit Price]]*(1-SalesData[[#This Row],[Discount (%)]]/100)</f>
        <v>2023.386</v>
      </c>
    </row>
    <row r="134" spans="1:11" x14ac:dyDescent="0.3">
      <c r="A134" s="6">
        <v>46208</v>
      </c>
      <c r="B134" s="1" t="s">
        <v>230</v>
      </c>
      <c r="C134" s="1" t="s">
        <v>155</v>
      </c>
      <c r="D134" s="1" t="s">
        <v>18</v>
      </c>
      <c r="E134" s="1" t="s">
        <v>13</v>
      </c>
      <c r="F134" s="1" t="s">
        <v>19</v>
      </c>
      <c r="G134" s="1">
        <v>10</v>
      </c>
      <c r="H134" s="2">
        <v>1080.44</v>
      </c>
      <c r="I134" s="1">
        <v>5</v>
      </c>
      <c r="J134" s="1" t="s">
        <v>76</v>
      </c>
      <c r="K134" s="2">
        <f>SalesData[[#This Row],[Quantity]]*SalesData[[#This Row],[Unit Price]]*(1-SalesData[[#This Row],[Discount (%)]]/100)</f>
        <v>10264.18</v>
      </c>
    </row>
    <row r="135" spans="1:11" x14ac:dyDescent="0.3">
      <c r="A135" s="6">
        <v>46217</v>
      </c>
      <c r="B135" s="1" t="s">
        <v>231</v>
      </c>
      <c r="C135" s="1" t="s">
        <v>232</v>
      </c>
      <c r="D135" s="1" t="s">
        <v>12</v>
      </c>
      <c r="E135" s="1" t="s">
        <v>50</v>
      </c>
      <c r="F135" s="1" t="s">
        <v>63</v>
      </c>
      <c r="G135" s="1">
        <v>4</v>
      </c>
      <c r="H135" s="2">
        <v>15.9</v>
      </c>
      <c r="I135" s="1">
        <v>10</v>
      </c>
      <c r="J135" s="1" t="s">
        <v>26</v>
      </c>
      <c r="K135" s="2">
        <f>SalesData[[#This Row],[Quantity]]*SalesData[[#This Row],[Unit Price]]*(1-SalesData[[#This Row],[Discount (%)]]/100)</f>
        <v>57.24</v>
      </c>
    </row>
    <row r="136" spans="1:11" x14ac:dyDescent="0.3">
      <c r="A136" s="6">
        <v>46233</v>
      </c>
      <c r="B136" s="1" t="s">
        <v>233</v>
      </c>
      <c r="C136" s="1" t="s">
        <v>160</v>
      </c>
      <c r="D136" s="1" t="s">
        <v>23</v>
      </c>
      <c r="E136" s="1" t="s">
        <v>24</v>
      </c>
      <c r="F136" s="1" t="s">
        <v>25</v>
      </c>
      <c r="G136" s="1">
        <v>3</v>
      </c>
      <c r="H136" s="2">
        <v>901.08</v>
      </c>
      <c r="I136" s="1">
        <v>15</v>
      </c>
      <c r="J136" s="1" t="s">
        <v>26</v>
      </c>
      <c r="K136" s="2">
        <f>SalesData[[#This Row],[Quantity]]*SalesData[[#This Row],[Unit Price]]*(1-SalesData[[#This Row],[Discount (%)]]/100)</f>
        <v>2297.7540000000004</v>
      </c>
    </row>
    <row r="137" spans="1:11" x14ac:dyDescent="0.3">
      <c r="A137" s="6">
        <v>46045</v>
      </c>
      <c r="B137" s="1" t="s">
        <v>234</v>
      </c>
      <c r="C137" s="1" t="s">
        <v>100</v>
      </c>
      <c r="D137" s="1" t="s">
        <v>12</v>
      </c>
      <c r="E137" s="1" t="s">
        <v>13</v>
      </c>
      <c r="F137" s="1" t="s">
        <v>14</v>
      </c>
      <c r="G137" s="1">
        <v>4</v>
      </c>
      <c r="H137" s="2">
        <v>773.04</v>
      </c>
      <c r="I137" s="1">
        <v>10</v>
      </c>
      <c r="J137" s="1" t="s">
        <v>76</v>
      </c>
      <c r="K137" s="2">
        <f>SalesData[[#This Row],[Quantity]]*SalesData[[#This Row],[Unit Price]]*(1-SalesData[[#This Row],[Discount (%)]]/100)</f>
        <v>2782.944</v>
      </c>
    </row>
    <row r="138" spans="1:11" x14ac:dyDescent="0.3">
      <c r="A138" s="6">
        <v>46167</v>
      </c>
      <c r="B138" s="1" t="s">
        <v>235</v>
      </c>
      <c r="C138" s="1" t="s">
        <v>194</v>
      </c>
      <c r="D138" s="1" t="s">
        <v>12</v>
      </c>
      <c r="E138" s="1" t="s">
        <v>24</v>
      </c>
      <c r="F138" s="1" t="s">
        <v>25</v>
      </c>
      <c r="G138" s="1">
        <v>8</v>
      </c>
      <c r="H138" s="2">
        <v>608.13</v>
      </c>
      <c r="I138" s="1">
        <v>5</v>
      </c>
      <c r="J138" s="1" t="s">
        <v>26</v>
      </c>
      <c r="K138" s="2">
        <f>SalesData[[#This Row],[Quantity]]*SalesData[[#This Row],[Unit Price]]*(1-SalesData[[#This Row],[Discount (%)]]/100)</f>
        <v>4621.7879999999996</v>
      </c>
    </row>
    <row r="139" spans="1:11" x14ac:dyDescent="0.3">
      <c r="A139" s="6">
        <v>46105</v>
      </c>
      <c r="B139" s="1" t="s">
        <v>236</v>
      </c>
      <c r="C139" s="1" t="s">
        <v>173</v>
      </c>
      <c r="D139" s="1" t="s">
        <v>18</v>
      </c>
      <c r="E139" s="1" t="s">
        <v>24</v>
      </c>
      <c r="F139" s="1" t="s">
        <v>36</v>
      </c>
      <c r="G139" s="1">
        <v>9</v>
      </c>
      <c r="H139" s="2">
        <v>498.73</v>
      </c>
      <c r="I139" s="1">
        <v>10</v>
      </c>
      <c r="J139" s="1" t="s">
        <v>83</v>
      </c>
      <c r="K139" s="2">
        <f>SalesData[[#This Row],[Quantity]]*SalesData[[#This Row],[Unit Price]]*(1-SalesData[[#This Row],[Discount (%)]]/100)</f>
        <v>4039.7129999999997</v>
      </c>
    </row>
    <row r="140" spans="1:11" x14ac:dyDescent="0.3">
      <c r="A140" s="6">
        <v>46094</v>
      </c>
      <c r="B140" s="1" t="s">
        <v>237</v>
      </c>
      <c r="C140" s="1" t="s">
        <v>98</v>
      </c>
      <c r="D140" s="1" t="s">
        <v>23</v>
      </c>
      <c r="E140" s="1" t="s">
        <v>24</v>
      </c>
      <c r="F140" s="1" t="s">
        <v>25</v>
      </c>
      <c r="G140" s="1">
        <v>7</v>
      </c>
      <c r="H140" s="2">
        <v>1128.5999999999999</v>
      </c>
      <c r="I140" s="1">
        <v>15</v>
      </c>
      <c r="J140" s="1" t="s">
        <v>40</v>
      </c>
      <c r="K140" s="2">
        <f>SalesData[[#This Row],[Quantity]]*SalesData[[#This Row],[Unit Price]]*(1-SalesData[[#This Row],[Discount (%)]]/100)</f>
        <v>6715.1699999999992</v>
      </c>
    </row>
    <row r="141" spans="1:11" x14ac:dyDescent="0.3">
      <c r="A141" s="6">
        <v>46140</v>
      </c>
      <c r="B141" s="1" t="s">
        <v>238</v>
      </c>
      <c r="C141" s="1" t="s">
        <v>28</v>
      </c>
      <c r="D141" s="1" t="s">
        <v>23</v>
      </c>
      <c r="E141" s="1" t="s">
        <v>50</v>
      </c>
      <c r="F141" s="1" t="s">
        <v>58</v>
      </c>
      <c r="G141" s="1">
        <v>1</v>
      </c>
      <c r="H141" s="2">
        <v>33.6</v>
      </c>
      <c r="I141" s="1">
        <v>5</v>
      </c>
      <c r="J141" s="1" t="s">
        <v>76</v>
      </c>
      <c r="K141" s="2">
        <f>SalesData[[#This Row],[Quantity]]*SalesData[[#This Row],[Unit Price]]*(1-SalesData[[#This Row],[Discount (%)]]/100)</f>
        <v>31.919999999999998</v>
      </c>
    </row>
    <row r="142" spans="1:11" x14ac:dyDescent="0.3">
      <c r="A142" s="6">
        <v>46059</v>
      </c>
      <c r="B142" s="1" t="s">
        <v>239</v>
      </c>
      <c r="C142" s="1" t="s">
        <v>32</v>
      </c>
      <c r="D142" s="1" t="s">
        <v>12</v>
      </c>
      <c r="E142" s="1" t="s">
        <v>24</v>
      </c>
      <c r="F142" s="1" t="s">
        <v>36</v>
      </c>
      <c r="G142" s="1">
        <v>7</v>
      </c>
      <c r="H142" s="2">
        <v>872.22</v>
      </c>
      <c r="I142" s="1">
        <v>15</v>
      </c>
      <c r="J142" s="1" t="s">
        <v>83</v>
      </c>
      <c r="K142" s="2">
        <f>SalesData[[#This Row],[Quantity]]*SalesData[[#This Row],[Unit Price]]*(1-SalesData[[#This Row],[Discount (%)]]/100)</f>
        <v>5189.7089999999998</v>
      </c>
    </row>
    <row r="143" spans="1:11" x14ac:dyDescent="0.3">
      <c r="A143" s="6">
        <v>46221</v>
      </c>
      <c r="B143" s="1" t="s">
        <v>240</v>
      </c>
      <c r="C143" s="1" t="s">
        <v>49</v>
      </c>
      <c r="D143" s="1" t="s">
        <v>18</v>
      </c>
      <c r="E143" s="1" t="s">
        <v>29</v>
      </c>
      <c r="F143" s="1" t="s">
        <v>39</v>
      </c>
      <c r="G143" s="1">
        <v>5</v>
      </c>
      <c r="H143" s="2">
        <v>887.18</v>
      </c>
      <c r="I143" s="1">
        <v>15</v>
      </c>
      <c r="J143" s="1" t="s">
        <v>26</v>
      </c>
      <c r="K143" s="2">
        <f>SalesData[[#This Row],[Quantity]]*SalesData[[#This Row],[Unit Price]]*(1-SalesData[[#This Row],[Discount (%)]]/100)</f>
        <v>3770.5149999999994</v>
      </c>
    </row>
    <row r="144" spans="1:11" x14ac:dyDescent="0.3">
      <c r="A144" s="6">
        <v>46133</v>
      </c>
      <c r="B144" s="1" t="s">
        <v>241</v>
      </c>
      <c r="C144" s="1" t="s">
        <v>242</v>
      </c>
      <c r="D144" s="1" t="s">
        <v>18</v>
      </c>
      <c r="E144" s="1" t="s">
        <v>50</v>
      </c>
      <c r="F144" s="1" t="s">
        <v>72</v>
      </c>
      <c r="G144" s="1">
        <v>4</v>
      </c>
      <c r="H144" s="2">
        <v>36.42</v>
      </c>
      <c r="I144" s="1">
        <v>5</v>
      </c>
      <c r="J144" s="1" t="s">
        <v>26</v>
      </c>
      <c r="K144" s="2">
        <f>SalesData[[#This Row],[Quantity]]*SalesData[[#This Row],[Unit Price]]*(1-SalesData[[#This Row],[Discount (%)]]/100)</f>
        <v>138.39599999999999</v>
      </c>
    </row>
    <row r="145" spans="1:11" x14ac:dyDescent="0.3">
      <c r="A145" s="6">
        <v>46102</v>
      </c>
      <c r="B145" s="1" t="s">
        <v>243</v>
      </c>
      <c r="C145" s="1" t="s">
        <v>49</v>
      </c>
      <c r="D145" s="1" t="s">
        <v>12</v>
      </c>
      <c r="E145" s="1" t="s">
        <v>50</v>
      </c>
      <c r="F145" s="1" t="s">
        <v>63</v>
      </c>
      <c r="G145" s="1">
        <v>6</v>
      </c>
      <c r="H145" s="2">
        <v>323.42</v>
      </c>
      <c r="I145" s="1">
        <v>10</v>
      </c>
      <c r="J145" s="1" t="s">
        <v>76</v>
      </c>
      <c r="K145" s="2">
        <f>SalesData[[#This Row],[Quantity]]*SalesData[[#This Row],[Unit Price]]*(1-SalesData[[#This Row],[Discount (%)]]/100)</f>
        <v>1746.4680000000001</v>
      </c>
    </row>
    <row r="146" spans="1:11" x14ac:dyDescent="0.3">
      <c r="A146" s="6">
        <v>46043</v>
      </c>
      <c r="B146" s="1" t="s">
        <v>244</v>
      </c>
      <c r="C146" s="1" t="s">
        <v>104</v>
      </c>
      <c r="D146" s="1" t="s">
        <v>18</v>
      </c>
      <c r="E146" s="1" t="s">
        <v>24</v>
      </c>
      <c r="F146" s="1" t="s">
        <v>36</v>
      </c>
      <c r="G146" s="1">
        <v>8</v>
      </c>
      <c r="H146" s="2">
        <v>1107.46</v>
      </c>
      <c r="I146" s="1">
        <v>15</v>
      </c>
      <c r="J146" s="1" t="s">
        <v>15</v>
      </c>
      <c r="K146" s="2">
        <f>SalesData[[#This Row],[Quantity]]*SalesData[[#This Row],[Unit Price]]*(1-SalesData[[#This Row],[Discount (%)]]/100)</f>
        <v>7530.7280000000001</v>
      </c>
    </row>
    <row r="147" spans="1:11" x14ac:dyDescent="0.3">
      <c r="A147" s="6">
        <v>46130</v>
      </c>
      <c r="B147" s="1" t="s">
        <v>245</v>
      </c>
      <c r="C147" s="1" t="s">
        <v>109</v>
      </c>
      <c r="D147" s="1" t="s">
        <v>18</v>
      </c>
      <c r="E147" s="1" t="s">
        <v>29</v>
      </c>
      <c r="F147" s="1" t="s">
        <v>39</v>
      </c>
      <c r="G147" s="1">
        <v>9</v>
      </c>
      <c r="H147" s="2">
        <v>616.07000000000005</v>
      </c>
      <c r="I147" s="1">
        <v>5</v>
      </c>
      <c r="J147" s="1" t="s">
        <v>15</v>
      </c>
      <c r="K147" s="2">
        <f>SalesData[[#This Row],[Quantity]]*SalesData[[#This Row],[Unit Price]]*(1-SalesData[[#This Row],[Discount (%)]]/100)</f>
        <v>5267.3985000000002</v>
      </c>
    </row>
    <row r="148" spans="1:11" x14ac:dyDescent="0.3">
      <c r="A148" s="6">
        <v>46121</v>
      </c>
      <c r="B148" s="1" t="s">
        <v>246</v>
      </c>
      <c r="C148" s="1" t="s">
        <v>247</v>
      </c>
      <c r="D148" s="1" t="s">
        <v>35</v>
      </c>
      <c r="E148" s="1" t="s">
        <v>13</v>
      </c>
      <c r="F148" s="1" t="s">
        <v>14</v>
      </c>
      <c r="G148" s="1">
        <v>4</v>
      </c>
      <c r="H148" s="2">
        <v>165.6</v>
      </c>
      <c r="I148" s="1">
        <v>0</v>
      </c>
      <c r="J148" s="1" t="s">
        <v>15</v>
      </c>
      <c r="K148" s="2">
        <f>SalesData[[#This Row],[Quantity]]*SalesData[[#This Row],[Unit Price]]*(1-SalesData[[#This Row],[Discount (%)]]/100)</f>
        <v>662.4</v>
      </c>
    </row>
    <row r="149" spans="1:11" x14ac:dyDescent="0.3">
      <c r="A149" s="6">
        <v>46038</v>
      </c>
      <c r="B149" s="1" t="s">
        <v>248</v>
      </c>
      <c r="C149" s="1" t="s">
        <v>82</v>
      </c>
      <c r="D149" s="1" t="s">
        <v>23</v>
      </c>
      <c r="E149" s="1" t="s">
        <v>24</v>
      </c>
      <c r="F149" s="1" t="s">
        <v>43</v>
      </c>
      <c r="G149" s="1">
        <v>4</v>
      </c>
      <c r="H149" s="2">
        <v>262.48</v>
      </c>
      <c r="I149" s="1">
        <v>10</v>
      </c>
      <c r="J149" s="1" t="s">
        <v>83</v>
      </c>
      <c r="K149" s="2">
        <f>SalesData[[#This Row],[Quantity]]*SalesData[[#This Row],[Unit Price]]*(1-SalesData[[#This Row],[Discount (%)]]/100)</f>
        <v>944.92800000000011</v>
      </c>
    </row>
    <row r="150" spans="1:11" x14ac:dyDescent="0.3">
      <c r="A150" s="6">
        <v>46174</v>
      </c>
      <c r="B150" s="1" t="s">
        <v>249</v>
      </c>
      <c r="C150" s="1" t="s">
        <v>250</v>
      </c>
      <c r="D150" s="1" t="s">
        <v>12</v>
      </c>
      <c r="E150" s="1" t="s">
        <v>29</v>
      </c>
      <c r="F150" s="1" t="s">
        <v>65</v>
      </c>
      <c r="G150" s="1">
        <v>5</v>
      </c>
      <c r="H150" s="2">
        <v>345.04</v>
      </c>
      <c r="I150" s="1">
        <v>10</v>
      </c>
      <c r="J150" s="1" t="s">
        <v>20</v>
      </c>
      <c r="K150" s="2">
        <f>SalesData[[#This Row],[Quantity]]*SalesData[[#This Row],[Unit Price]]*(1-SalesData[[#This Row],[Discount (%)]]/100)</f>
        <v>1552.68</v>
      </c>
    </row>
    <row r="151" spans="1:11" x14ac:dyDescent="0.3">
      <c r="A151" s="6">
        <v>46077</v>
      </c>
      <c r="B151" s="1" t="s">
        <v>251</v>
      </c>
      <c r="C151" s="1" t="s">
        <v>86</v>
      </c>
      <c r="D151" s="1" t="s">
        <v>18</v>
      </c>
      <c r="E151" s="1" t="s">
        <v>50</v>
      </c>
      <c r="F151" s="1" t="s">
        <v>63</v>
      </c>
      <c r="G151" s="1">
        <v>9</v>
      </c>
      <c r="H151" s="2">
        <v>1185.22</v>
      </c>
      <c r="I151" s="1">
        <v>5</v>
      </c>
      <c r="J151" s="1" t="s">
        <v>26</v>
      </c>
      <c r="K151" s="2">
        <f>SalesData[[#This Row],[Quantity]]*SalesData[[#This Row],[Unit Price]]*(1-SalesData[[#This Row],[Discount (%)]]/100)</f>
        <v>10133.630999999999</v>
      </c>
    </row>
    <row r="152" spans="1:11" x14ac:dyDescent="0.3">
      <c r="A152" s="6">
        <v>46187</v>
      </c>
      <c r="B152" s="1" t="s">
        <v>252</v>
      </c>
      <c r="C152" s="1" t="s">
        <v>177</v>
      </c>
      <c r="D152" s="1" t="s">
        <v>12</v>
      </c>
      <c r="E152" s="1" t="s">
        <v>50</v>
      </c>
      <c r="F152" s="1" t="s">
        <v>58</v>
      </c>
      <c r="G152" s="1">
        <v>5</v>
      </c>
      <c r="H152" s="2">
        <v>743.66</v>
      </c>
      <c r="I152" s="1">
        <v>10</v>
      </c>
      <c r="J152" s="1" t="s">
        <v>26</v>
      </c>
      <c r="K152" s="2">
        <f>SalesData[[#This Row],[Quantity]]*SalesData[[#This Row],[Unit Price]]*(1-SalesData[[#This Row],[Discount (%)]]/100)</f>
        <v>3346.47</v>
      </c>
    </row>
    <row r="153" spans="1:11" x14ac:dyDescent="0.3">
      <c r="A153" s="6">
        <v>46233</v>
      </c>
      <c r="B153" s="1" t="s">
        <v>253</v>
      </c>
      <c r="C153" s="1" t="s">
        <v>57</v>
      </c>
      <c r="D153" s="1" t="s">
        <v>12</v>
      </c>
      <c r="E153" s="1" t="s">
        <v>50</v>
      </c>
      <c r="F153" s="1" t="s">
        <v>63</v>
      </c>
      <c r="G153" s="1">
        <v>2</v>
      </c>
      <c r="H153" s="2">
        <v>621.9</v>
      </c>
      <c r="I153" s="1">
        <v>10</v>
      </c>
      <c r="J153" s="1" t="s">
        <v>76</v>
      </c>
      <c r="K153" s="2">
        <f>SalesData[[#This Row],[Quantity]]*SalesData[[#This Row],[Unit Price]]*(1-SalesData[[#This Row],[Discount (%)]]/100)</f>
        <v>1119.42</v>
      </c>
    </row>
    <row r="154" spans="1:11" x14ac:dyDescent="0.3">
      <c r="A154" s="6">
        <v>46024</v>
      </c>
      <c r="B154" s="1" t="s">
        <v>254</v>
      </c>
      <c r="C154" s="1" t="s">
        <v>143</v>
      </c>
      <c r="D154" s="1" t="s">
        <v>12</v>
      </c>
      <c r="E154" s="1" t="s">
        <v>13</v>
      </c>
      <c r="F154" s="1" t="s">
        <v>61</v>
      </c>
      <c r="G154" s="1">
        <v>10</v>
      </c>
      <c r="H154" s="2">
        <v>691.58</v>
      </c>
      <c r="I154" s="1">
        <v>10</v>
      </c>
      <c r="J154" s="1" t="s">
        <v>40</v>
      </c>
      <c r="K154" s="2">
        <f>SalesData[[#This Row],[Quantity]]*SalesData[[#This Row],[Unit Price]]*(1-SalesData[[#This Row],[Discount (%)]]/100)</f>
        <v>6224.22</v>
      </c>
    </row>
    <row r="155" spans="1:11" x14ac:dyDescent="0.3">
      <c r="A155" s="6">
        <v>46206</v>
      </c>
      <c r="B155" s="1" t="s">
        <v>255</v>
      </c>
      <c r="C155" s="1" t="s">
        <v>11</v>
      </c>
      <c r="D155" s="1" t="s">
        <v>12</v>
      </c>
      <c r="E155" s="1" t="s">
        <v>24</v>
      </c>
      <c r="F155" s="1" t="s">
        <v>36</v>
      </c>
      <c r="G155" s="1">
        <v>10</v>
      </c>
      <c r="H155" s="2">
        <v>171.27</v>
      </c>
      <c r="I155" s="1">
        <v>10</v>
      </c>
      <c r="J155" s="1" t="s">
        <v>26</v>
      </c>
      <c r="K155" s="2">
        <f>SalesData[[#This Row],[Quantity]]*SalesData[[#This Row],[Unit Price]]*(1-SalesData[[#This Row],[Discount (%)]]/100)</f>
        <v>1541.43</v>
      </c>
    </row>
    <row r="156" spans="1:11" x14ac:dyDescent="0.3">
      <c r="A156" s="6">
        <v>46161</v>
      </c>
      <c r="B156" s="1" t="s">
        <v>256</v>
      </c>
      <c r="C156" s="1" t="s">
        <v>179</v>
      </c>
      <c r="D156" s="1" t="s">
        <v>35</v>
      </c>
      <c r="E156" s="1" t="s">
        <v>13</v>
      </c>
      <c r="F156" s="1" t="s">
        <v>19</v>
      </c>
      <c r="G156" s="1">
        <v>4</v>
      </c>
      <c r="H156" s="2">
        <v>1001.37</v>
      </c>
      <c r="I156" s="1">
        <v>10</v>
      </c>
      <c r="J156" s="1" t="s">
        <v>76</v>
      </c>
      <c r="K156" s="2">
        <f>SalesData[[#This Row],[Quantity]]*SalesData[[#This Row],[Unit Price]]*(1-SalesData[[#This Row],[Discount (%)]]/100)</f>
        <v>3604.9320000000002</v>
      </c>
    </row>
    <row r="157" spans="1:11" x14ac:dyDescent="0.3">
      <c r="A157" s="6">
        <v>46040</v>
      </c>
      <c r="B157" s="1" t="s">
        <v>257</v>
      </c>
      <c r="C157" s="1" t="s">
        <v>191</v>
      </c>
      <c r="D157" s="1" t="s">
        <v>18</v>
      </c>
      <c r="E157" s="1" t="s">
        <v>24</v>
      </c>
      <c r="F157" s="1" t="s">
        <v>43</v>
      </c>
      <c r="G157" s="1">
        <v>8</v>
      </c>
      <c r="H157" s="2">
        <v>546.23</v>
      </c>
      <c r="I157" s="1">
        <v>10</v>
      </c>
      <c r="J157" s="1" t="s">
        <v>76</v>
      </c>
      <c r="K157" s="2">
        <f>SalesData[[#This Row],[Quantity]]*SalesData[[#This Row],[Unit Price]]*(1-SalesData[[#This Row],[Discount (%)]]/100)</f>
        <v>3932.8560000000002</v>
      </c>
    </row>
    <row r="158" spans="1:11" x14ac:dyDescent="0.3">
      <c r="A158" s="6">
        <v>46059</v>
      </c>
      <c r="B158" s="1" t="s">
        <v>258</v>
      </c>
      <c r="C158" s="1" t="s">
        <v>67</v>
      </c>
      <c r="D158" s="1" t="s">
        <v>23</v>
      </c>
      <c r="E158" s="1" t="s">
        <v>29</v>
      </c>
      <c r="F158" s="1" t="s">
        <v>30</v>
      </c>
      <c r="G158" s="1">
        <v>3</v>
      </c>
      <c r="H158" s="2">
        <v>120.26</v>
      </c>
      <c r="I158" s="1">
        <v>5</v>
      </c>
      <c r="J158" s="1" t="s">
        <v>26</v>
      </c>
      <c r="K158" s="2">
        <f>SalesData[[#This Row],[Quantity]]*SalesData[[#This Row],[Unit Price]]*(1-SalesData[[#This Row],[Discount (%)]]/100)</f>
        <v>342.74099999999999</v>
      </c>
    </row>
    <row r="159" spans="1:11" x14ac:dyDescent="0.3">
      <c r="A159" s="6">
        <v>46116</v>
      </c>
      <c r="B159" s="1" t="s">
        <v>259</v>
      </c>
      <c r="C159" s="1" t="s">
        <v>260</v>
      </c>
      <c r="D159" s="1" t="s">
        <v>18</v>
      </c>
      <c r="E159" s="1" t="s">
        <v>13</v>
      </c>
      <c r="F159" s="1" t="s">
        <v>61</v>
      </c>
      <c r="G159" s="1">
        <v>7</v>
      </c>
      <c r="H159" s="2">
        <v>710.1</v>
      </c>
      <c r="I159" s="1">
        <v>10</v>
      </c>
      <c r="J159" s="1" t="s">
        <v>40</v>
      </c>
      <c r="K159" s="2">
        <f>SalesData[[#This Row],[Quantity]]*SalesData[[#This Row],[Unit Price]]*(1-SalesData[[#This Row],[Discount (%)]]/100)</f>
        <v>4473.63</v>
      </c>
    </row>
    <row r="160" spans="1:11" x14ac:dyDescent="0.3">
      <c r="A160" s="6">
        <v>46174</v>
      </c>
      <c r="B160" s="1" t="s">
        <v>261</v>
      </c>
      <c r="C160" s="1" t="s">
        <v>191</v>
      </c>
      <c r="D160" s="1" t="s">
        <v>23</v>
      </c>
      <c r="E160" s="1" t="s">
        <v>29</v>
      </c>
      <c r="F160" s="1" t="s">
        <v>39</v>
      </c>
      <c r="G160" s="1">
        <v>9</v>
      </c>
      <c r="H160" s="2">
        <v>538.15</v>
      </c>
      <c r="I160" s="1">
        <v>10</v>
      </c>
      <c r="J160" s="1" t="s">
        <v>83</v>
      </c>
      <c r="K160" s="2">
        <f>SalesData[[#This Row],[Quantity]]*SalesData[[#This Row],[Unit Price]]*(1-SalesData[[#This Row],[Discount (%)]]/100)</f>
        <v>4359.0149999999994</v>
      </c>
    </row>
    <row r="161" spans="1:11" x14ac:dyDescent="0.3">
      <c r="A161" s="6">
        <v>46182</v>
      </c>
      <c r="B161" s="1" t="s">
        <v>262</v>
      </c>
      <c r="C161" s="1" t="s">
        <v>47</v>
      </c>
      <c r="D161" s="1" t="s">
        <v>35</v>
      </c>
      <c r="E161" s="1" t="s">
        <v>29</v>
      </c>
      <c r="F161" s="1" t="s">
        <v>39</v>
      </c>
      <c r="G161" s="1">
        <v>7</v>
      </c>
      <c r="H161" s="2">
        <v>601.58000000000004</v>
      </c>
      <c r="I161" s="1">
        <v>10</v>
      </c>
      <c r="J161" s="1" t="s">
        <v>83</v>
      </c>
      <c r="K161" s="2">
        <f>SalesData[[#This Row],[Quantity]]*SalesData[[#This Row],[Unit Price]]*(1-SalesData[[#This Row],[Discount (%)]]/100)</f>
        <v>3789.9540000000006</v>
      </c>
    </row>
    <row r="162" spans="1:11" x14ac:dyDescent="0.3">
      <c r="A162" s="6">
        <v>46127</v>
      </c>
      <c r="B162" s="1" t="s">
        <v>263</v>
      </c>
      <c r="C162" s="1" t="s">
        <v>34</v>
      </c>
      <c r="D162" s="1" t="s">
        <v>12</v>
      </c>
      <c r="E162" s="1" t="s">
        <v>13</v>
      </c>
      <c r="F162" s="1" t="s">
        <v>61</v>
      </c>
      <c r="G162" s="1">
        <v>4</v>
      </c>
      <c r="H162" s="2">
        <v>325.89</v>
      </c>
      <c r="I162" s="1">
        <v>10</v>
      </c>
      <c r="J162" s="1" t="s">
        <v>15</v>
      </c>
      <c r="K162" s="2">
        <f>SalesData[[#This Row],[Quantity]]*SalesData[[#This Row],[Unit Price]]*(1-SalesData[[#This Row],[Discount (%)]]/100)</f>
        <v>1173.204</v>
      </c>
    </row>
    <row r="163" spans="1:11" x14ac:dyDescent="0.3">
      <c r="A163" s="6">
        <v>46046</v>
      </c>
      <c r="B163" s="1" t="s">
        <v>264</v>
      </c>
      <c r="C163" s="1" t="s">
        <v>135</v>
      </c>
      <c r="D163" s="1" t="s">
        <v>23</v>
      </c>
      <c r="E163" s="1" t="s">
        <v>50</v>
      </c>
      <c r="F163" s="1" t="s">
        <v>51</v>
      </c>
      <c r="G163" s="1">
        <v>9</v>
      </c>
      <c r="H163" s="2">
        <v>820.9</v>
      </c>
      <c r="I163" s="1">
        <v>5</v>
      </c>
      <c r="J163" s="1" t="s">
        <v>20</v>
      </c>
      <c r="K163" s="2">
        <f>SalesData[[#This Row],[Quantity]]*SalesData[[#This Row],[Unit Price]]*(1-SalesData[[#This Row],[Discount (%)]]/100)</f>
        <v>7018.6949999999988</v>
      </c>
    </row>
    <row r="164" spans="1:11" x14ac:dyDescent="0.3">
      <c r="A164" s="6">
        <v>46229</v>
      </c>
      <c r="B164" s="1" t="s">
        <v>265</v>
      </c>
      <c r="C164" s="1" t="s">
        <v>266</v>
      </c>
      <c r="D164" s="1" t="s">
        <v>12</v>
      </c>
      <c r="E164" s="1" t="s">
        <v>24</v>
      </c>
      <c r="F164" s="1" t="s">
        <v>36</v>
      </c>
      <c r="G164" s="1">
        <v>5</v>
      </c>
      <c r="H164" s="2">
        <v>799.61</v>
      </c>
      <c r="I164" s="1">
        <v>0</v>
      </c>
      <c r="J164" s="1" t="s">
        <v>26</v>
      </c>
      <c r="K164" s="2">
        <f>SalesData[[#This Row],[Quantity]]*SalesData[[#This Row],[Unit Price]]*(1-SalesData[[#This Row],[Discount (%)]]/100)</f>
        <v>3998.05</v>
      </c>
    </row>
    <row r="165" spans="1:11" x14ac:dyDescent="0.3">
      <c r="A165" s="6">
        <v>46185</v>
      </c>
      <c r="B165" s="1" t="s">
        <v>267</v>
      </c>
      <c r="C165" s="1" t="s">
        <v>268</v>
      </c>
      <c r="D165" s="1" t="s">
        <v>12</v>
      </c>
      <c r="E165" s="1" t="s">
        <v>50</v>
      </c>
      <c r="F165" s="1" t="s">
        <v>72</v>
      </c>
      <c r="G165" s="1">
        <v>10</v>
      </c>
      <c r="H165" s="2">
        <v>939.23</v>
      </c>
      <c r="I165" s="1">
        <v>5</v>
      </c>
      <c r="J165" s="1" t="s">
        <v>15</v>
      </c>
      <c r="K165" s="2">
        <f>SalesData[[#This Row],[Quantity]]*SalesData[[#This Row],[Unit Price]]*(1-SalesData[[#This Row],[Discount (%)]]/100)</f>
        <v>8922.6849999999995</v>
      </c>
    </row>
    <row r="166" spans="1:11" x14ac:dyDescent="0.3">
      <c r="A166" s="6">
        <v>46186</v>
      </c>
      <c r="B166" s="1" t="s">
        <v>269</v>
      </c>
      <c r="C166" s="1" t="s">
        <v>38</v>
      </c>
      <c r="D166" s="1" t="s">
        <v>35</v>
      </c>
      <c r="E166" s="1" t="s">
        <v>13</v>
      </c>
      <c r="F166" s="1" t="s">
        <v>14</v>
      </c>
      <c r="G166" s="1">
        <v>5</v>
      </c>
      <c r="H166" s="2">
        <v>263.06</v>
      </c>
      <c r="I166" s="1">
        <v>10</v>
      </c>
      <c r="J166" s="1" t="s">
        <v>20</v>
      </c>
      <c r="K166" s="2">
        <f>SalesData[[#This Row],[Quantity]]*SalesData[[#This Row],[Unit Price]]*(1-SalesData[[#This Row],[Discount (%)]]/100)</f>
        <v>1183.77</v>
      </c>
    </row>
    <row r="167" spans="1:11" x14ac:dyDescent="0.3">
      <c r="A167" s="6">
        <v>46132</v>
      </c>
      <c r="B167" s="1" t="s">
        <v>270</v>
      </c>
      <c r="C167" s="1" t="s">
        <v>271</v>
      </c>
      <c r="D167" s="1" t="s">
        <v>12</v>
      </c>
      <c r="E167" s="1" t="s">
        <v>24</v>
      </c>
      <c r="F167" s="1" t="s">
        <v>43</v>
      </c>
      <c r="G167" s="1">
        <v>3</v>
      </c>
      <c r="H167" s="2">
        <v>22.19</v>
      </c>
      <c r="I167" s="1">
        <v>15</v>
      </c>
      <c r="J167" s="1" t="s">
        <v>15</v>
      </c>
      <c r="K167" s="2">
        <f>SalesData[[#This Row],[Quantity]]*SalesData[[#This Row],[Unit Price]]*(1-SalesData[[#This Row],[Discount (%)]]/100)</f>
        <v>56.584500000000006</v>
      </c>
    </row>
    <row r="168" spans="1:11" x14ac:dyDescent="0.3">
      <c r="A168" s="6">
        <v>46180</v>
      </c>
      <c r="B168" s="1" t="s">
        <v>272</v>
      </c>
      <c r="C168" s="1" t="s">
        <v>135</v>
      </c>
      <c r="D168" s="1" t="s">
        <v>12</v>
      </c>
      <c r="E168" s="1" t="s">
        <v>24</v>
      </c>
      <c r="F168" s="1" t="s">
        <v>36</v>
      </c>
      <c r="G168" s="1">
        <v>3</v>
      </c>
      <c r="H168" s="2">
        <v>442.76</v>
      </c>
      <c r="I168" s="1">
        <v>5</v>
      </c>
      <c r="J168" s="1" t="s">
        <v>26</v>
      </c>
      <c r="K168" s="2">
        <f>SalesData[[#This Row],[Quantity]]*SalesData[[#This Row],[Unit Price]]*(1-SalesData[[#This Row],[Discount (%)]]/100)</f>
        <v>1261.866</v>
      </c>
    </row>
    <row r="169" spans="1:11" x14ac:dyDescent="0.3">
      <c r="A169" s="6">
        <v>46172</v>
      </c>
      <c r="B169" s="1" t="s">
        <v>273</v>
      </c>
      <c r="C169" s="1" t="s">
        <v>38</v>
      </c>
      <c r="D169" s="1" t="s">
        <v>18</v>
      </c>
      <c r="E169" s="1" t="s">
        <v>24</v>
      </c>
      <c r="F169" s="1" t="s">
        <v>25</v>
      </c>
      <c r="G169" s="1">
        <v>2</v>
      </c>
      <c r="H169" s="2">
        <v>463.04</v>
      </c>
      <c r="I169" s="1">
        <v>0</v>
      </c>
      <c r="J169" s="1" t="s">
        <v>15</v>
      </c>
      <c r="K169" s="2">
        <f>SalesData[[#This Row],[Quantity]]*SalesData[[#This Row],[Unit Price]]*(1-SalesData[[#This Row],[Discount (%)]]/100)</f>
        <v>926.08</v>
      </c>
    </row>
    <row r="170" spans="1:11" x14ac:dyDescent="0.3">
      <c r="A170" s="6">
        <v>46125</v>
      </c>
      <c r="B170" s="1" t="s">
        <v>274</v>
      </c>
      <c r="C170" s="1" t="s">
        <v>151</v>
      </c>
      <c r="D170" s="1" t="s">
        <v>23</v>
      </c>
      <c r="E170" s="1" t="s">
        <v>24</v>
      </c>
      <c r="F170" s="1" t="s">
        <v>43</v>
      </c>
      <c r="G170" s="1">
        <v>7</v>
      </c>
      <c r="H170" s="2">
        <v>141.16</v>
      </c>
      <c r="I170" s="1">
        <v>15</v>
      </c>
      <c r="J170" s="1" t="s">
        <v>20</v>
      </c>
      <c r="K170" s="2">
        <f>SalesData[[#This Row],[Quantity]]*SalesData[[#This Row],[Unit Price]]*(1-SalesData[[#This Row],[Discount (%)]]/100)</f>
        <v>839.90199999999993</v>
      </c>
    </row>
    <row r="171" spans="1:11" x14ac:dyDescent="0.3">
      <c r="A171" s="6">
        <v>46146</v>
      </c>
      <c r="B171" s="1" t="s">
        <v>275</v>
      </c>
      <c r="C171" s="1" t="s">
        <v>177</v>
      </c>
      <c r="D171" s="1" t="s">
        <v>12</v>
      </c>
      <c r="E171" s="1" t="s">
        <v>29</v>
      </c>
      <c r="F171" s="1" t="s">
        <v>39</v>
      </c>
      <c r="G171" s="1">
        <v>3</v>
      </c>
      <c r="H171" s="2">
        <v>450.9</v>
      </c>
      <c r="I171" s="1">
        <v>5</v>
      </c>
      <c r="J171" s="1" t="s">
        <v>20</v>
      </c>
      <c r="K171" s="2">
        <f>SalesData[[#This Row],[Quantity]]*SalesData[[#This Row],[Unit Price]]*(1-SalesData[[#This Row],[Discount (%)]]/100)</f>
        <v>1285.0649999999998</v>
      </c>
    </row>
    <row r="172" spans="1:11" x14ac:dyDescent="0.3">
      <c r="A172" s="6">
        <v>46192</v>
      </c>
      <c r="B172" s="1" t="s">
        <v>276</v>
      </c>
      <c r="C172" s="1" t="s">
        <v>86</v>
      </c>
      <c r="D172" s="1" t="s">
        <v>35</v>
      </c>
      <c r="E172" s="1" t="s">
        <v>29</v>
      </c>
      <c r="F172" s="1" t="s">
        <v>65</v>
      </c>
      <c r="G172" s="1">
        <v>6</v>
      </c>
      <c r="H172" s="2">
        <v>190.9</v>
      </c>
      <c r="I172" s="1">
        <v>15</v>
      </c>
      <c r="J172" s="1" t="s">
        <v>15</v>
      </c>
      <c r="K172" s="2">
        <f>SalesData[[#This Row],[Quantity]]*SalesData[[#This Row],[Unit Price]]*(1-SalesData[[#This Row],[Discount (%)]]/100)</f>
        <v>973.59</v>
      </c>
    </row>
    <row r="173" spans="1:11" x14ac:dyDescent="0.3">
      <c r="A173" s="6">
        <v>46206</v>
      </c>
      <c r="B173" s="1" t="s">
        <v>277</v>
      </c>
      <c r="C173" s="1" t="s">
        <v>278</v>
      </c>
      <c r="D173" s="1" t="s">
        <v>12</v>
      </c>
      <c r="E173" s="1" t="s">
        <v>13</v>
      </c>
      <c r="F173" s="1" t="s">
        <v>61</v>
      </c>
      <c r="G173" s="1">
        <v>9</v>
      </c>
      <c r="H173" s="2">
        <v>439.19</v>
      </c>
      <c r="I173" s="1">
        <v>10</v>
      </c>
      <c r="J173" s="1" t="s">
        <v>15</v>
      </c>
      <c r="K173" s="2">
        <f>SalesData[[#This Row],[Quantity]]*SalesData[[#This Row],[Unit Price]]*(1-SalesData[[#This Row],[Discount (%)]]/100)</f>
        <v>3557.4390000000003</v>
      </c>
    </row>
    <row r="174" spans="1:11" x14ac:dyDescent="0.3">
      <c r="A174" s="6">
        <v>46216</v>
      </c>
      <c r="B174" s="1" t="s">
        <v>279</v>
      </c>
      <c r="C174" s="1" t="s">
        <v>106</v>
      </c>
      <c r="D174" s="1" t="s">
        <v>35</v>
      </c>
      <c r="E174" s="1" t="s">
        <v>13</v>
      </c>
      <c r="F174" s="1" t="s">
        <v>61</v>
      </c>
      <c r="G174" s="1">
        <v>10</v>
      </c>
      <c r="H174" s="2">
        <v>464.33</v>
      </c>
      <c r="I174" s="1">
        <v>15</v>
      </c>
      <c r="J174" s="1" t="s">
        <v>83</v>
      </c>
      <c r="K174" s="2">
        <f>SalesData[[#This Row],[Quantity]]*SalesData[[#This Row],[Unit Price]]*(1-SalesData[[#This Row],[Discount (%)]]/100)</f>
        <v>3946.8049999999998</v>
      </c>
    </row>
    <row r="175" spans="1:11" x14ac:dyDescent="0.3">
      <c r="A175" s="6">
        <v>46196</v>
      </c>
      <c r="B175" s="1" t="s">
        <v>280</v>
      </c>
      <c r="C175" s="1" t="s">
        <v>222</v>
      </c>
      <c r="D175" s="1" t="s">
        <v>35</v>
      </c>
      <c r="E175" s="1" t="s">
        <v>24</v>
      </c>
      <c r="F175" s="1" t="s">
        <v>25</v>
      </c>
      <c r="G175" s="1">
        <v>3</v>
      </c>
      <c r="H175" s="2">
        <v>212.96</v>
      </c>
      <c r="I175" s="1">
        <v>10</v>
      </c>
      <c r="J175" s="1" t="s">
        <v>76</v>
      </c>
      <c r="K175" s="2">
        <f>SalesData[[#This Row],[Quantity]]*SalesData[[#This Row],[Unit Price]]*(1-SalesData[[#This Row],[Discount (%)]]/100)</f>
        <v>574.99199999999996</v>
      </c>
    </row>
    <row r="176" spans="1:11" x14ac:dyDescent="0.3">
      <c r="A176" s="6">
        <v>46066</v>
      </c>
      <c r="B176" s="1" t="s">
        <v>281</v>
      </c>
      <c r="C176" s="1" t="s">
        <v>271</v>
      </c>
      <c r="D176" s="1" t="s">
        <v>18</v>
      </c>
      <c r="E176" s="1" t="s">
        <v>50</v>
      </c>
      <c r="F176" s="1" t="s">
        <v>63</v>
      </c>
      <c r="G176" s="1">
        <v>6</v>
      </c>
      <c r="H176" s="2">
        <v>881.39</v>
      </c>
      <c r="I176" s="1">
        <v>10</v>
      </c>
      <c r="J176" s="1" t="s">
        <v>20</v>
      </c>
      <c r="K176" s="2">
        <f>SalesData[[#This Row],[Quantity]]*SalesData[[#This Row],[Unit Price]]*(1-SalesData[[#This Row],[Discount (%)]]/100)</f>
        <v>4759.5060000000003</v>
      </c>
    </row>
    <row r="177" spans="1:11" x14ac:dyDescent="0.3">
      <c r="A177" s="6">
        <v>46055</v>
      </c>
      <c r="B177" s="1" t="s">
        <v>282</v>
      </c>
      <c r="C177" s="1" t="s">
        <v>181</v>
      </c>
      <c r="D177" s="1" t="s">
        <v>35</v>
      </c>
      <c r="E177" s="1" t="s">
        <v>13</v>
      </c>
      <c r="F177" s="1" t="s">
        <v>14</v>
      </c>
      <c r="G177" s="1">
        <v>10</v>
      </c>
      <c r="H177" s="2">
        <v>180.27</v>
      </c>
      <c r="I177" s="1">
        <v>0</v>
      </c>
      <c r="J177" s="1" t="s">
        <v>20</v>
      </c>
      <c r="K177" s="2">
        <f>SalesData[[#This Row],[Quantity]]*SalesData[[#This Row],[Unit Price]]*(1-SalesData[[#This Row],[Discount (%)]]/100)</f>
        <v>1802.7</v>
      </c>
    </row>
    <row r="178" spans="1:11" x14ac:dyDescent="0.3">
      <c r="A178" s="6">
        <v>46093</v>
      </c>
      <c r="B178" s="1" t="s">
        <v>283</v>
      </c>
      <c r="C178" s="1" t="s">
        <v>284</v>
      </c>
      <c r="D178" s="1" t="s">
        <v>12</v>
      </c>
      <c r="E178" s="1" t="s">
        <v>13</v>
      </c>
      <c r="F178" s="1" t="s">
        <v>14</v>
      </c>
      <c r="G178" s="1">
        <v>9</v>
      </c>
      <c r="H178" s="2">
        <v>153.49</v>
      </c>
      <c r="I178" s="1">
        <v>10</v>
      </c>
      <c r="J178" s="1" t="s">
        <v>76</v>
      </c>
      <c r="K178" s="2">
        <f>SalesData[[#This Row],[Quantity]]*SalesData[[#This Row],[Unit Price]]*(1-SalesData[[#This Row],[Discount (%)]]/100)</f>
        <v>1243.269</v>
      </c>
    </row>
    <row r="179" spans="1:11" x14ac:dyDescent="0.3">
      <c r="A179" s="6">
        <v>46124</v>
      </c>
      <c r="B179" s="1" t="s">
        <v>285</v>
      </c>
      <c r="C179" s="1" t="s">
        <v>17</v>
      </c>
      <c r="D179" s="1" t="s">
        <v>18</v>
      </c>
      <c r="E179" s="1" t="s">
        <v>13</v>
      </c>
      <c r="F179" s="1" t="s">
        <v>19</v>
      </c>
      <c r="G179" s="1">
        <v>7</v>
      </c>
      <c r="H179" s="2">
        <v>874.16</v>
      </c>
      <c r="I179" s="1">
        <v>10</v>
      </c>
      <c r="J179" s="1" t="s">
        <v>40</v>
      </c>
      <c r="K179" s="2">
        <f>SalesData[[#This Row],[Quantity]]*SalesData[[#This Row],[Unit Price]]*(1-SalesData[[#This Row],[Discount (%)]]/100)</f>
        <v>5507.2079999999996</v>
      </c>
    </row>
    <row r="180" spans="1:11" x14ac:dyDescent="0.3">
      <c r="A180" s="6">
        <v>46134</v>
      </c>
      <c r="B180" s="1" t="s">
        <v>286</v>
      </c>
      <c r="C180" s="1" t="s">
        <v>151</v>
      </c>
      <c r="D180" s="1" t="s">
        <v>18</v>
      </c>
      <c r="E180" s="1" t="s">
        <v>13</v>
      </c>
      <c r="F180" s="1" t="s">
        <v>19</v>
      </c>
      <c r="G180" s="1">
        <v>7</v>
      </c>
      <c r="H180" s="2">
        <v>812.32</v>
      </c>
      <c r="I180" s="1">
        <v>5</v>
      </c>
      <c r="J180" s="1" t="s">
        <v>83</v>
      </c>
      <c r="K180" s="2">
        <f>SalesData[[#This Row],[Quantity]]*SalesData[[#This Row],[Unit Price]]*(1-SalesData[[#This Row],[Discount (%)]]/100)</f>
        <v>5401.9280000000008</v>
      </c>
    </row>
    <row r="181" spans="1:11" x14ac:dyDescent="0.3">
      <c r="A181" s="6">
        <v>46163</v>
      </c>
      <c r="B181" s="1" t="s">
        <v>287</v>
      </c>
      <c r="C181" s="1" t="s">
        <v>271</v>
      </c>
      <c r="D181" s="1" t="s">
        <v>23</v>
      </c>
      <c r="E181" s="1" t="s">
        <v>50</v>
      </c>
      <c r="F181" s="1" t="s">
        <v>63</v>
      </c>
      <c r="G181" s="1">
        <v>4</v>
      </c>
      <c r="H181" s="2">
        <v>239.95</v>
      </c>
      <c r="I181" s="1">
        <v>5</v>
      </c>
      <c r="J181" s="1" t="s">
        <v>15</v>
      </c>
      <c r="K181" s="2">
        <f>SalesData[[#This Row],[Quantity]]*SalesData[[#This Row],[Unit Price]]*(1-SalesData[[#This Row],[Discount (%)]]/100)</f>
        <v>911.81</v>
      </c>
    </row>
    <row r="182" spans="1:11" x14ac:dyDescent="0.3">
      <c r="A182" s="6">
        <v>46052</v>
      </c>
      <c r="B182" s="1" t="s">
        <v>288</v>
      </c>
      <c r="C182" s="1" t="s">
        <v>289</v>
      </c>
      <c r="D182" s="1" t="s">
        <v>23</v>
      </c>
      <c r="E182" s="1" t="s">
        <v>29</v>
      </c>
      <c r="F182" s="1" t="s">
        <v>65</v>
      </c>
      <c r="G182" s="1">
        <v>1</v>
      </c>
      <c r="H182" s="2">
        <v>594.24</v>
      </c>
      <c r="I182" s="1">
        <v>0</v>
      </c>
      <c r="J182" s="1" t="s">
        <v>76</v>
      </c>
      <c r="K182" s="2">
        <f>SalesData[[#This Row],[Quantity]]*SalesData[[#This Row],[Unit Price]]*(1-SalesData[[#This Row],[Discount (%)]]/100)</f>
        <v>594.24</v>
      </c>
    </row>
    <row r="183" spans="1:11" x14ac:dyDescent="0.3">
      <c r="A183" s="6">
        <v>46072</v>
      </c>
      <c r="B183" s="1" t="s">
        <v>290</v>
      </c>
      <c r="C183" s="1" t="s">
        <v>100</v>
      </c>
      <c r="D183" s="1" t="s">
        <v>18</v>
      </c>
      <c r="E183" s="1" t="s">
        <v>24</v>
      </c>
      <c r="F183" s="1" t="s">
        <v>43</v>
      </c>
      <c r="G183" s="1">
        <v>2</v>
      </c>
      <c r="H183" s="2">
        <v>436.4</v>
      </c>
      <c r="I183" s="1">
        <v>0</v>
      </c>
      <c r="J183" s="1" t="s">
        <v>83</v>
      </c>
      <c r="K183" s="2">
        <f>SalesData[[#This Row],[Quantity]]*SalesData[[#This Row],[Unit Price]]*(1-SalesData[[#This Row],[Discount (%)]]/100)</f>
        <v>872.8</v>
      </c>
    </row>
    <row r="184" spans="1:11" x14ac:dyDescent="0.3">
      <c r="A184" s="6">
        <v>46096</v>
      </c>
      <c r="B184" s="1" t="s">
        <v>291</v>
      </c>
      <c r="C184" s="1" t="s">
        <v>38</v>
      </c>
      <c r="D184" s="1" t="s">
        <v>12</v>
      </c>
      <c r="E184" s="1" t="s">
        <v>50</v>
      </c>
      <c r="F184" s="1" t="s">
        <v>58</v>
      </c>
      <c r="G184" s="1">
        <v>3</v>
      </c>
      <c r="H184" s="2">
        <v>512.62</v>
      </c>
      <c r="I184" s="1">
        <v>15</v>
      </c>
      <c r="J184" s="1" t="s">
        <v>26</v>
      </c>
      <c r="K184" s="2">
        <f>SalesData[[#This Row],[Quantity]]*SalesData[[#This Row],[Unit Price]]*(1-SalesData[[#This Row],[Discount (%)]]/100)</f>
        <v>1307.181</v>
      </c>
    </row>
    <row r="185" spans="1:11" x14ac:dyDescent="0.3">
      <c r="A185" s="6">
        <v>46155</v>
      </c>
      <c r="B185" s="1" t="s">
        <v>292</v>
      </c>
      <c r="C185" s="1" t="s">
        <v>173</v>
      </c>
      <c r="D185" s="1" t="s">
        <v>12</v>
      </c>
      <c r="E185" s="1" t="s">
        <v>29</v>
      </c>
      <c r="F185" s="1" t="s">
        <v>65</v>
      </c>
      <c r="G185" s="1">
        <v>7</v>
      </c>
      <c r="H185" s="2">
        <v>344.21</v>
      </c>
      <c r="I185" s="1">
        <v>15</v>
      </c>
      <c r="J185" s="1" t="s">
        <v>15</v>
      </c>
      <c r="K185" s="2">
        <f>SalesData[[#This Row],[Quantity]]*SalesData[[#This Row],[Unit Price]]*(1-SalesData[[#This Row],[Discount (%)]]/100)</f>
        <v>2048.0494999999996</v>
      </c>
    </row>
    <row r="186" spans="1:11" x14ac:dyDescent="0.3">
      <c r="A186" s="6">
        <v>46148</v>
      </c>
      <c r="B186" s="1" t="s">
        <v>293</v>
      </c>
      <c r="C186" s="1" t="s">
        <v>86</v>
      </c>
      <c r="D186" s="1" t="s">
        <v>12</v>
      </c>
      <c r="E186" s="1" t="s">
        <v>50</v>
      </c>
      <c r="F186" s="1" t="s">
        <v>63</v>
      </c>
      <c r="G186" s="1">
        <v>1</v>
      </c>
      <c r="H186" s="2">
        <v>249.58</v>
      </c>
      <c r="I186" s="1">
        <v>10</v>
      </c>
      <c r="J186" s="1" t="s">
        <v>26</v>
      </c>
      <c r="K186" s="2">
        <f>SalesData[[#This Row],[Quantity]]*SalesData[[#This Row],[Unit Price]]*(1-SalesData[[#This Row],[Discount (%)]]/100)</f>
        <v>224.62200000000001</v>
      </c>
    </row>
    <row r="187" spans="1:11" x14ac:dyDescent="0.3">
      <c r="A187" s="6">
        <v>46218</v>
      </c>
      <c r="B187" s="1" t="s">
        <v>294</v>
      </c>
      <c r="C187" s="1" t="s">
        <v>295</v>
      </c>
      <c r="D187" s="1" t="s">
        <v>23</v>
      </c>
      <c r="E187" s="1" t="s">
        <v>29</v>
      </c>
      <c r="F187" s="1" t="s">
        <v>65</v>
      </c>
      <c r="G187" s="1">
        <v>1</v>
      </c>
      <c r="H187" s="2">
        <v>820.82</v>
      </c>
      <c r="I187" s="1">
        <v>15</v>
      </c>
      <c r="J187" s="1" t="s">
        <v>76</v>
      </c>
      <c r="K187" s="2">
        <f>SalesData[[#This Row],[Quantity]]*SalesData[[#This Row],[Unit Price]]*(1-SalesData[[#This Row],[Discount (%)]]/100)</f>
        <v>697.697</v>
      </c>
    </row>
    <row r="188" spans="1:11" x14ac:dyDescent="0.3">
      <c r="A188" s="6">
        <v>46112</v>
      </c>
      <c r="B188" s="1" t="s">
        <v>296</v>
      </c>
      <c r="C188" s="1" t="s">
        <v>89</v>
      </c>
      <c r="D188" s="1" t="s">
        <v>12</v>
      </c>
      <c r="E188" s="1" t="s">
        <v>24</v>
      </c>
      <c r="F188" s="1" t="s">
        <v>36</v>
      </c>
      <c r="G188" s="1">
        <v>4</v>
      </c>
      <c r="H188" s="2">
        <v>27.11</v>
      </c>
      <c r="I188" s="1">
        <v>10</v>
      </c>
      <c r="J188" s="1" t="s">
        <v>83</v>
      </c>
      <c r="K188" s="2">
        <f>SalesData[[#This Row],[Quantity]]*SalesData[[#This Row],[Unit Price]]*(1-SalesData[[#This Row],[Discount (%)]]/100)</f>
        <v>97.596000000000004</v>
      </c>
    </row>
    <row r="189" spans="1:11" x14ac:dyDescent="0.3">
      <c r="A189" s="6">
        <v>46065</v>
      </c>
      <c r="B189" s="1" t="s">
        <v>297</v>
      </c>
      <c r="C189" s="1" t="s">
        <v>155</v>
      </c>
      <c r="D189" s="1" t="s">
        <v>23</v>
      </c>
      <c r="E189" s="1" t="s">
        <v>13</v>
      </c>
      <c r="F189" s="1" t="s">
        <v>14</v>
      </c>
      <c r="G189" s="1">
        <v>10</v>
      </c>
      <c r="H189" s="2">
        <v>1168.23</v>
      </c>
      <c r="I189" s="1">
        <v>0</v>
      </c>
      <c r="J189" s="1" t="s">
        <v>15</v>
      </c>
      <c r="K189" s="2">
        <f>SalesData[[#This Row],[Quantity]]*SalesData[[#This Row],[Unit Price]]*(1-SalesData[[#This Row],[Discount (%)]]/100)</f>
        <v>11682.3</v>
      </c>
    </row>
    <row r="190" spans="1:11" x14ac:dyDescent="0.3">
      <c r="A190" s="6">
        <v>46233</v>
      </c>
      <c r="B190" s="1" t="s">
        <v>298</v>
      </c>
      <c r="C190" s="1" t="s">
        <v>194</v>
      </c>
      <c r="D190" s="1" t="s">
        <v>35</v>
      </c>
      <c r="E190" s="1" t="s">
        <v>29</v>
      </c>
      <c r="F190" s="1" t="s">
        <v>39</v>
      </c>
      <c r="G190" s="1">
        <v>4</v>
      </c>
      <c r="H190" s="2">
        <v>752.21</v>
      </c>
      <c r="I190" s="1">
        <v>10</v>
      </c>
      <c r="J190" s="1" t="s">
        <v>76</v>
      </c>
      <c r="K190" s="2">
        <f>SalesData[[#This Row],[Quantity]]*SalesData[[#This Row],[Unit Price]]*(1-SalesData[[#This Row],[Discount (%)]]/100)</f>
        <v>2707.9560000000001</v>
      </c>
    </row>
    <row r="191" spans="1:11" x14ac:dyDescent="0.3">
      <c r="A191" s="6">
        <v>46224</v>
      </c>
      <c r="B191" s="1" t="s">
        <v>299</v>
      </c>
      <c r="C191" s="1" t="s">
        <v>300</v>
      </c>
      <c r="D191" s="1" t="s">
        <v>35</v>
      </c>
      <c r="E191" s="1" t="s">
        <v>24</v>
      </c>
      <c r="F191" s="1" t="s">
        <v>25</v>
      </c>
      <c r="G191" s="1">
        <v>6</v>
      </c>
      <c r="H191" s="2">
        <v>363.28</v>
      </c>
      <c r="I191" s="1">
        <v>0</v>
      </c>
      <c r="J191" s="1" t="s">
        <v>26</v>
      </c>
      <c r="K191" s="2">
        <f>SalesData[[#This Row],[Quantity]]*SalesData[[#This Row],[Unit Price]]*(1-SalesData[[#This Row],[Discount (%)]]/100)</f>
        <v>2179.6799999999998</v>
      </c>
    </row>
    <row r="192" spans="1:11" x14ac:dyDescent="0.3">
      <c r="A192" s="6">
        <v>46173</v>
      </c>
      <c r="B192" s="1" t="s">
        <v>301</v>
      </c>
      <c r="C192" s="1" t="s">
        <v>151</v>
      </c>
      <c r="D192" s="1" t="s">
        <v>12</v>
      </c>
      <c r="E192" s="1" t="s">
        <v>24</v>
      </c>
      <c r="F192" s="1" t="s">
        <v>43</v>
      </c>
      <c r="G192" s="1">
        <v>1</v>
      </c>
      <c r="H192" s="2">
        <v>662.95</v>
      </c>
      <c r="I192" s="1">
        <v>15</v>
      </c>
      <c r="J192" s="1" t="s">
        <v>20</v>
      </c>
      <c r="K192" s="2">
        <f>SalesData[[#This Row],[Quantity]]*SalesData[[#This Row],[Unit Price]]*(1-SalesData[[#This Row],[Discount (%)]]/100)</f>
        <v>563.50750000000005</v>
      </c>
    </row>
    <row r="193" spans="1:11" x14ac:dyDescent="0.3">
      <c r="A193" s="6">
        <v>46130</v>
      </c>
      <c r="B193" s="1" t="s">
        <v>302</v>
      </c>
      <c r="C193" s="1" t="s">
        <v>47</v>
      </c>
      <c r="D193" s="1" t="s">
        <v>35</v>
      </c>
      <c r="E193" s="1" t="s">
        <v>50</v>
      </c>
      <c r="F193" s="1" t="s">
        <v>51</v>
      </c>
      <c r="G193" s="1">
        <v>2</v>
      </c>
      <c r="H193" s="2">
        <v>1020.21</v>
      </c>
      <c r="I193" s="1">
        <v>0</v>
      </c>
      <c r="J193" s="1" t="s">
        <v>76</v>
      </c>
      <c r="K193" s="2">
        <f>SalesData[[#This Row],[Quantity]]*SalesData[[#This Row],[Unit Price]]*(1-SalesData[[#This Row],[Discount (%)]]/100)</f>
        <v>2040.42</v>
      </c>
    </row>
    <row r="194" spans="1:11" x14ac:dyDescent="0.3">
      <c r="A194" s="6">
        <v>46084</v>
      </c>
      <c r="B194" s="1" t="s">
        <v>303</v>
      </c>
      <c r="C194" s="1" t="s">
        <v>75</v>
      </c>
      <c r="D194" s="1" t="s">
        <v>23</v>
      </c>
      <c r="E194" s="1" t="s">
        <v>50</v>
      </c>
      <c r="F194" s="1" t="s">
        <v>58</v>
      </c>
      <c r="G194" s="1">
        <v>6</v>
      </c>
      <c r="H194" s="2">
        <v>907.07</v>
      </c>
      <c r="I194" s="1">
        <v>5</v>
      </c>
      <c r="J194" s="1" t="s">
        <v>15</v>
      </c>
      <c r="K194" s="2">
        <f>SalesData[[#This Row],[Quantity]]*SalesData[[#This Row],[Unit Price]]*(1-SalesData[[#This Row],[Discount (%)]]/100)</f>
        <v>5170.299</v>
      </c>
    </row>
    <row r="195" spans="1:11" x14ac:dyDescent="0.3">
      <c r="A195" s="6">
        <v>46051</v>
      </c>
      <c r="B195" s="1" t="s">
        <v>304</v>
      </c>
      <c r="C195" s="1" t="s">
        <v>47</v>
      </c>
      <c r="D195" s="1" t="s">
        <v>18</v>
      </c>
      <c r="E195" s="1" t="s">
        <v>24</v>
      </c>
      <c r="F195" s="1" t="s">
        <v>36</v>
      </c>
      <c r="G195" s="1">
        <v>6</v>
      </c>
      <c r="H195" s="2">
        <v>831.55</v>
      </c>
      <c r="I195" s="1">
        <v>10</v>
      </c>
      <c r="J195" s="1" t="s">
        <v>76</v>
      </c>
      <c r="K195" s="2">
        <f>SalesData[[#This Row],[Quantity]]*SalesData[[#This Row],[Unit Price]]*(1-SalesData[[#This Row],[Discount (%)]]/100)</f>
        <v>4490.37</v>
      </c>
    </row>
    <row r="196" spans="1:11" x14ac:dyDescent="0.3">
      <c r="A196" s="6">
        <v>46076</v>
      </c>
      <c r="B196" s="1" t="s">
        <v>305</v>
      </c>
      <c r="C196" s="1" t="s">
        <v>11</v>
      </c>
      <c r="D196" s="1" t="s">
        <v>23</v>
      </c>
      <c r="E196" s="1" t="s">
        <v>24</v>
      </c>
      <c r="F196" s="1" t="s">
        <v>25</v>
      </c>
      <c r="G196" s="1">
        <v>6</v>
      </c>
      <c r="H196" s="2">
        <v>964.52</v>
      </c>
      <c r="I196" s="1">
        <v>0</v>
      </c>
      <c r="J196" s="1" t="s">
        <v>83</v>
      </c>
      <c r="K196" s="2">
        <f>SalesData[[#This Row],[Quantity]]*SalesData[[#This Row],[Unit Price]]*(1-SalesData[[#This Row],[Discount (%)]]/100)</f>
        <v>5787.12</v>
      </c>
    </row>
    <row r="197" spans="1:11" x14ac:dyDescent="0.3">
      <c r="A197" s="6">
        <v>46218</v>
      </c>
      <c r="B197" s="1" t="s">
        <v>306</v>
      </c>
      <c r="C197" s="1" t="s">
        <v>114</v>
      </c>
      <c r="D197" s="1" t="s">
        <v>35</v>
      </c>
      <c r="E197" s="1" t="s">
        <v>24</v>
      </c>
      <c r="F197" s="1" t="s">
        <v>43</v>
      </c>
      <c r="G197" s="1">
        <v>1</v>
      </c>
      <c r="H197" s="2">
        <v>222.59</v>
      </c>
      <c r="I197" s="1">
        <v>0</v>
      </c>
      <c r="J197" s="1" t="s">
        <v>40</v>
      </c>
      <c r="K197" s="2">
        <f>SalesData[[#This Row],[Quantity]]*SalesData[[#This Row],[Unit Price]]*(1-SalesData[[#This Row],[Discount (%)]]/100)</f>
        <v>222.59</v>
      </c>
    </row>
    <row r="198" spans="1:11" x14ac:dyDescent="0.3">
      <c r="A198" s="6">
        <v>46081</v>
      </c>
      <c r="B198" s="1" t="s">
        <v>307</v>
      </c>
      <c r="C198" s="1" t="s">
        <v>271</v>
      </c>
      <c r="D198" s="1" t="s">
        <v>23</v>
      </c>
      <c r="E198" s="1" t="s">
        <v>24</v>
      </c>
      <c r="F198" s="1" t="s">
        <v>36</v>
      </c>
      <c r="G198" s="1">
        <v>5</v>
      </c>
      <c r="H198" s="2">
        <v>289.16000000000003</v>
      </c>
      <c r="I198" s="1">
        <v>15</v>
      </c>
      <c r="J198" s="1" t="s">
        <v>40</v>
      </c>
      <c r="K198" s="2">
        <f>SalesData[[#This Row],[Quantity]]*SalesData[[#This Row],[Unit Price]]*(1-SalesData[[#This Row],[Discount (%)]]/100)</f>
        <v>1228.93</v>
      </c>
    </row>
    <row r="199" spans="1:11" x14ac:dyDescent="0.3">
      <c r="A199" s="6">
        <v>46128</v>
      </c>
      <c r="B199" s="1" t="s">
        <v>308</v>
      </c>
      <c r="C199" s="1" t="s">
        <v>49</v>
      </c>
      <c r="D199" s="1" t="s">
        <v>23</v>
      </c>
      <c r="E199" s="1" t="s">
        <v>29</v>
      </c>
      <c r="F199" s="1" t="s">
        <v>65</v>
      </c>
      <c r="G199" s="1">
        <v>1</v>
      </c>
      <c r="H199" s="2">
        <v>486.83</v>
      </c>
      <c r="I199" s="1">
        <v>5</v>
      </c>
      <c r="J199" s="1" t="s">
        <v>15</v>
      </c>
      <c r="K199" s="2">
        <f>SalesData[[#This Row],[Quantity]]*SalesData[[#This Row],[Unit Price]]*(1-SalesData[[#This Row],[Discount (%)]]/100)</f>
        <v>462.48849999999999</v>
      </c>
    </row>
    <row r="200" spans="1:11" x14ac:dyDescent="0.3">
      <c r="A200" s="6">
        <v>46096</v>
      </c>
      <c r="B200" s="1" t="s">
        <v>309</v>
      </c>
      <c r="C200" s="1" t="s">
        <v>100</v>
      </c>
      <c r="D200" s="1" t="s">
        <v>12</v>
      </c>
      <c r="E200" s="1" t="s">
        <v>50</v>
      </c>
      <c r="F200" s="1" t="s">
        <v>63</v>
      </c>
      <c r="G200" s="1">
        <v>4</v>
      </c>
      <c r="H200" s="2">
        <v>513.63</v>
      </c>
      <c r="I200" s="1">
        <v>0</v>
      </c>
      <c r="J200" s="1" t="s">
        <v>26</v>
      </c>
      <c r="K200" s="2">
        <f>SalesData[[#This Row],[Quantity]]*SalesData[[#This Row],[Unit Price]]*(1-SalesData[[#This Row],[Discount (%)]]/100)</f>
        <v>2054.52</v>
      </c>
    </row>
    <row r="201" spans="1:11" x14ac:dyDescent="0.3">
      <c r="A201" s="6">
        <v>46190</v>
      </c>
      <c r="B201" s="1" t="s">
        <v>310</v>
      </c>
      <c r="C201" s="1" t="s">
        <v>42</v>
      </c>
      <c r="D201" s="1" t="s">
        <v>12</v>
      </c>
      <c r="E201" s="1" t="s">
        <v>24</v>
      </c>
      <c r="F201" s="1" t="s">
        <v>25</v>
      </c>
      <c r="G201" s="1">
        <v>4</v>
      </c>
      <c r="H201" s="2">
        <v>740.62</v>
      </c>
      <c r="I201" s="1">
        <v>0</v>
      </c>
      <c r="J201" s="1" t="s">
        <v>26</v>
      </c>
      <c r="K201" s="2">
        <f>SalesData[[#This Row],[Quantity]]*SalesData[[#This Row],[Unit Price]]*(1-SalesData[[#This Row],[Discount (%)]]/100)</f>
        <v>2962.48</v>
      </c>
    </row>
    <row r="202" spans="1:11" x14ac:dyDescent="0.3">
      <c r="A202" s="6">
        <v>46054</v>
      </c>
      <c r="B202" s="1" t="s">
        <v>311</v>
      </c>
      <c r="C202" s="1" t="s">
        <v>75</v>
      </c>
      <c r="D202" s="1" t="s">
        <v>23</v>
      </c>
      <c r="E202" s="1" t="s">
        <v>24</v>
      </c>
      <c r="F202" s="1" t="s">
        <v>43</v>
      </c>
      <c r="G202" s="1">
        <v>9</v>
      </c>
      <c r="H202" s="2">
        <v>669.15</v>
      </c>
      <c r="I202" s="1">
        <v>10</v>
      </c>
      <c r="J202" s="1" t="s">
        <v>76</v>
      </c>
      <c r="K202" s="2">
        <f>SalesData[[#This Row],[Quantity]]*SalesData[[#This Row],[Unit Price]]*(1-SalesData[[#This Row],[Discount (%)]]/100)</f>
        <v>5420.1149999999998</v>
      </c>
    </row>
    <row r="203" spans="1:11" x14ac:dyDescent="0.3">
      <c r="A203" s="6">
        <v>46188</v>
      </c>
      <c r="B203" s="1" t="s">
        <v>312</v>
      </c>
      <c r="C203" s="1" t="s">
        <v>141</v>
      </c>
      <c r="D203" s="1" t="s">
        <v>23</v>
      </c>
      <c r="E203" s="1" t="s">
        <v>13</v>
      </c>
      <c r="F203" s="1" t="s">
        <v>61</v>
      </c>
      <c r="G203" s="1">
        <v>5</v>
      </c>
      <c r="H203" s="2">
        <v>808.51</v>
      </c>
      <c r="I203" s="1">
        <v>15</v>
      </c>
      <c r="J203" s="1" t="s">
        <v>15</v>
      </c>
      <c r="K203" s="2">
        <f>SalesData[[#This Row],[Quantity]]*SalesData[[#This Row],[Unit Price]]*(1-SalesData[[#This Row],[Discount (%)]]/100)</f>
        <v>3436.1675</v>
      </c>
    </row>
    <row r="204" spans="1:11" x14ac:dyDescent="0.3">
      <c r="A204" s="6">
        <v>46170</v>
      </c>
      <c r="B204" s="1" t="s">
        <v>313</v>
      </c>
      <c r="C204" s="1" t="s">
        <v>96</v>
      </c>
      <c r="D204" s="1" t="s">
        <v>35</v>
      </c>
      <c r="E204" s="1" t="s">
        <v>29</v>
      </c>
      <c r="F204" s="1" t="s">
        <v>39</v>
      </c>
      <c r="G204" s="1">
        <v>2</v>
      </c>
      <c r="H204" s="2">
        <v>452.17</v>
      </c>
      <c r="I204" s="1">
        <v>10</v>
      </c>
      <c r="J204" s="1" t="s">
        <v>76</v>
      </c>
      <c r="K204" s="2">
        <f>SalesData[[#This Row],[Quantity]]*SalesData[[#This Row],[Unit Price]]*(1-SalesData[[#This Row],[Discount (%)]]/100)</f>
        <v>813.90600000000006</v>
      </c>
    </row>
    <row r="205" spans="1:11" x14ac:dyDescent="0.3">
      <c r="A205" s="6">
        <v>46211</v>
      </c>
      <c r="B205" s="1" t="s">
        <v>314</v>
      </c>
      <c r="C205" s="1" t="s">
        <v>315</v>
      </c>
      <c r="D205" s="1" t="s">
        <v>12</v>
      </c>
      <c r="E205" s="1" t="s">
        <v>24</v>
      </c>
      <c r="F205" s="1" t="s">
        <v>25</v>
      </c>
      <c r="G205" s="1">
        <v>4</v>
      </c>
      <c r="H205" s="2">
        <v>254.43</v>
      </c>
      <c r="I205" s="1">
        <v>10</v>
      </c>
      <c r="J205" s="1" t="s">
        <v>40</v>
      </c>
      <c r="K205" s="2">
        <f>SalesData[[#This Row],[Quantity]]*SalesData[[#This Row],[Unit Price]]*(1-SalesData[[#This Row],[Discount (%)]]/100)</f>
        <v>915.94800000000009</v>
      </c>
    </row>
    <row r="206" spans="1:11" x14ac:dyDescent="0.3">
      <c r="A206" s="6">
        <v>46097</v>
      </c>
      <c r="B206" s="1" t="s">
        <v>316</v>
      </c>
      <c r="C206" s="1" t="s">
        <v>106</v>
      </c>
      <c r="D206" s="1" t="s">
        <v>23</v>
      </c>
      <c r="E206" s="1" t="s">
        <v>13</v>
      </c>
      <c r="F206" s="1" t="s">
        <v>19</v>
      </c>
      <c r="G206" s="1">
        <v>10</v>
      </c>
      <c r="H206" s="2">
        <v>82.28</v>
      </c>
      <c r="I206" s="1">
        <v>15</v>
      </c>
      <c r="J206" s="1" t="s">
        <v>76</v>
      </c>
      <c r="K206" s="2">
        <f>SalesData[[#This Row],[Quantity]]*SalesData[[#This Row],[Unit Price]]*(1-SalesData[[#This Row],[Discount (%)]]/100)</f>
        <v>699.38</v>
      </c>
    </row>
    <row r="207" spans="1:11" x14ac:dyDescent="0.3">
      <c r="A207" s="6">
        <v>46094</v>
      </c>
      <c r="B207" s="1" t="s">
        <v>317</v>
      </c>
      <c r="C207" s="1" t="s">
        <v>89</v>
      </c>
      <c r="D207" s="1" t="s">
        <v>12</v>
      </c>
      <c r="E207" s="1" t="s">
        <v>13</v>
      </c>
      <c r="F207" s="1" t="s">
        <v>19</v>
      </c>
      <c r="G207" s="1">
        <v>5</v>
      </c>
      <c r="H207" s="2">
        <v>589.97</v>
      </c>
      <c r="I207" s="1">
        <v>15</v>
      </c>
      <c r="J207" s="1" t="s">
        <v>15</v>
      </c>
      <c r="K207" s="2">
        <f>SalesData[[#This Row],[Quantity]]*SalesData[[#This Row],[Unit Price]]*(1-SalesData[[#This Row],[Discount (%)]]/100)</f>
        <v>2507.3725000000004</v>
      </c>
    </row>
    <row r="208" spans="1:11" x14ac:dyDescent="0.3">
      <c r="A208" s="6">
        <v>46091</v>
      </c>
      <c r="B208" s="1" t="s">
        <v>318</v>
      </c>
      <c r="C208" s="1" t="s">
        <v>112</v>
      </c>
      <c r="D208" s="1" t="s">
        <v>35</v>
      </c>
      <c r="E208" s="1" t="s">
        <v>24</v>
      </c>
      <c r="F208" s="1" t="s">
        <v>36</v>
      </c>
      <c r="G208" s="1">
        <v>9</v>
      </c>
      <c r="H208" s="2">
        <v>680.34</v>
      </c>
      <c r="I208" s="1">
        <v>5</v>
      </c>
      <c r="J208" s="1" t="s">
        <v>40</v>
      </c>
      <c r="K208" s="2">
        <f>SalesData[[#This Row],[Quantity]]*SalesData[[#This Row],[Unit Price]]*(1-SalesData[[#This Row],[Discount (%)]]/100)</f>
        <v>5816.9070000000002</v>
      </c>
    </row>
    <row r="209" spans="1:11" x14ac:dyDescent="0.3">
      <c r="A209" s="6">
        <v>46102</v>
      </c>
      <c r="B209" s="1" t="s">
        <v>319</v>
      </c>
      <c r="C209" s="1" t="s">
        <v>22</v>
      </c>
      <c r="D209" s="1" t="s">
        <v>23</v>
      </c>
      <c r="E209" s="1" t="s">
        <v>13</v>
      </c>
      <c r="F209" s="1" t="s">
        <v>19</v>
      </c>
      <c r="G209" s="1">
        <v>2</v>
      </c>
      <c r="H209" s="2">
        <v>257.3</v>
      </c>
      <c r="I209" s="1">
        <v>15</v>
      </c>
      <c r="J209" s="1" t="s">
        <v>76</v>
      </c>
      <c r="K209" s="2">
        <f>SalesData[[#This Row],[Quantity]]*SalesData[[#This Row],[Unit Price]]*(1-SalesData[[#This Row],[Discount (%)]]/100)</f>
        <v>437.41</v>
      </c>
    </row>
    <row r="210" spans="1:11" x14ac:dyDescent="0.3">
      <c r="A210" s="6">
        <v>46130</v>
      </c>
      <c r="B210" s="1" t="s">
        <v>320</v>
      </c>
      <c r="C210" s="1" t="s">
        <v>321</v>
      </c>
      <c r="D210" s="1" t="s">
        <v>35</v>
      </c>
      <c r="E210" s="1" t="s">
        <v>13</v>
      </c>
      <c r="F210" s="1" t="s">
        <v>14</v>
      </c>
      <c r="G210" s="1">
        <v>4</v>
      </c>
      <c r="H210" s="2">
        <v>814.94</v>
      </c>
      <c r="I210" s="1">
        <v>10</v>
      </c>
      <c r="J210" s="1" t="s">
        <v>20</v>
      </c>
      <c r="K210" s="2">
        <f>SalesData[[#This Row],[Quantity]]*SalesData[[#This Row],[Unit Price]]*(1-SalesData[[#This Row],[Discount (%)]]/100)</f>
        <v>2933.7840000000001</v>
      </c>
    </row>
    <row r="211" spans="1:11" x14ac:dyDescent="0.3">
      <c r="A211" s="6">
        <v>46170</v>
      </c>
      <c r="B211" s="1" t="s">
        <v>322</v>
      </c>
      <c r="C211" s="1" t="s">
        <v>323</v>
      </c>
      <c r="D211" s="1" t="s">
        <v>18</v>
      </c>
      <c r="E211" s="1" t="s">
        <v>13</v>
      </c>
      <c r="F211" s="1" t="s">
        <v>14</v>
      </c>
      <c r="G211" s="1">
        <v>8</v>
      </c>
      <c r="H211" s="2">
        <v>31.39</v>
      </c>
      <c r="I211" s="1">
        <v>10</v>
      </c>
      <c r="J211" s="1" t="s">
        <v>20</v>
      </c>
      <c r="K211" s="2">
        <f>SalesData[[#This Row],[Quantity]]*SalesData[[#This Row],[Unit Price]]*(1-SalesData[[#This Row],[Discount (%)]]/100)</f>
        <v>226.00800000000001</v>
      </c>
    </row>
    <row r="212" spans="1:11" x14ac:dyDescent="0.3">
      <c r="A212" s="6">
        <v>46115</v>
      </c>
      <c r="B212" s="1" t="s">
        <v>324</v>
      </c>
      <c r="C212" s="1" t="s">
        <v>89</v>
      </c>
      <c r="D212" s="1" t="s">
        <v>23</v>
      </c>
      <c r="E212" s="1" t="s">
        <v>24</v>
      </c>
      <c r="F212" s="1" t="s">
        <v>25</v>
      </c>
      <c r="G212" s="1">
        <v>7</v>
      </c>
      <c r="H212" s="2">
        <v>752.63</v>
      </c>
      <c r="I212" s="1">
        <v>15</v>
      </c>
      <c r="J212" s="1" t="s">
        <v>26</v>
      </c>
      <c r="K212" s="2">
        <f>SalesData[[#This Row],[Quantity]]*SalesData[[#This Row],[Unit Price]]*(1-SalesData[[#This Row],[Discount (%)]]/100)</f>
        <v>4478.1484999999993</v>
      </c>
    </row>
    <row r="213" spans="1:11" x14ac:dyDescent="0.3">
      <c r="A213" s="6">
        <v>46181</v>
      </c>
      <c r="B213" s="1" t="s">
        <v>325</v>
      </c>
      <c r="C213" s="1" t="s">
        <v>114</v>
      </c>
      <c r="D213" s="1" t="s">
        <v>35</v>
      </c>
      <c r="E213" s="1" t="s">
        <v>24</v>
      </c>
      <c r="F213" s="1" t="s">
        <v>36</v>
      </c>
      <c r="G213" s="1">
        <v>4</v>
      </c>
      <c r="H213" s="2">
        <v>639.24</v>
      </c>
      <c r="I213" s="1">
        <v>10</v>
      </c>
      <c r="J213" s="1" t="s">
        <v>20</v>
      </c>
      <c r="K213" s="2">
        <f>SalesData[[#This Row],[Quantity]]*SalesData[[#This Row],[Unit Price]]*(1-SalesData[[#This Row],[Discount (%)]]/100)</f>
        <v>2301.2640000000001</v>
      </c>
    </row>
    <row r="214" spans="1:11" x14ac:dyDescent="0.3">
      <c r="A214" s="6">
        <v>46200</v>
      </c>
      <c r="B214" s="1" t="s">
        <v>326</v>
      </c>
      <c r="C214" s="1" t="s">
        <v>232</v>
      </c>
      <c r="D214" s="1" t="s">
        <v>23</v>
      </c>
      <c r="E214" s="1" t="s">
        <v>13</v>
      </c>
      <c r="F214" s="1" t="s">
        <v>14</v>
      </c>
      <c r="G214" s="1">
        <v>10</v>
      </c>
      <c r="H214" s="2">
        <v>464.6</v>
      </c>
      <c r="I214" s="1">
        <v>5</v>
      </c>
      <c r="J214" s="1" t="s">
        <v>40</v>
      </c>
      <c r="K214" s="2">
        <f>SalesData[[#This Row],[Quantity]]*SalesData[[#This Row],[Unit Price]]*(1-SalesData[[#This Row],[Discount (%)]]/100)</f>
        <v>4413.7</v>
      </c>
    </row>
    <row r="215" spans="1:11" x14ac:dyDescent="0.3">
      <c r="A215" s="6">
        <v>46088</v>
      </c>
      <c r="B215" s="1" t="s">
        <v>327</v>
      </c>
      <c r="C215" s="1" t="s">
        <v>34</v>
      </c>
      <c r="D215" s="1" t="s">
        <v>18</v>
      </c>
      <c r="E215" s="1" t="s">
        <v>13</v>
      </c>
      <c r="F215" s="1" t="s">
        <v>19</v>
      </c>
      <c r="G215" s="1">
        <v>8</v>
      </c>
      <c r="H215" s="2">
        <v>56.18</v>
      </c>
      <c r="I215" s="1">
        <v>10</v>
      </c>
      <c r="J215" s="1" t="s">
        <v>76</v>
      </c>
      <c r="K215" s="2">
        <f>SalesData[[#This Row],[Quantity]]*SalesData[[#This Row],[Unit Price]]*(1-SalesData[[#This Row],[Discount (%)]]/100)</f>
        <v>404.49599999999998</v>
      </c>
    </row>
    <row r="216" spans="1:11" x14ac:dyDescent="0.3">
      <c r="A216" s="6">
        <v>46215</v>
      </c>
      <c r="B216" s="1" t="s">
        <v>328</v>
      </c>
      <c r="C216" s="1" t="s">
        <v>177</v>
      </c>
      <c r="D216" s="1" t="s">
        <v>23</v>
      </c>
      <c r="E216" s="1" t="s">
        <v>24</v>
      </c>
      <c r="F216" s="1" t="s">
        <v>25</v>
      </c>
      <c r="G216" s="1">
        <v>2</v>
      </c>
      <c r="H216" s="2">
        <v>743.72</v>
      </c>
      <c r="I216" s="1">
        <v>0</v>
      </c>
      <c r="J216" s="1" t="s">
        <v>20</v>
      </c>
      <c r="K216" s="2">
        <f>SalesData[[#This Row],[Quantity]]*SalesData[[#This Row],[Unit Price]]*(1-SalesData[[#This Row],[Discount (%)]]/100)</f>
        <v>1487.44</v>
      </c>
    </row>
    <row r="217" spans="1:11" x14ac:dyDescent="0.3">
      <c r="A217" s="6">
        <v>46135</v>
      </c>
      <c r="B217" s="1" t="s">
        <v>329</v>
      </c>
      <c r="C217" s="1" t="s">
        <v>184</v>
      </c>
      <c r="D217" s="1" t="s">
        <v>23</v>
      </c>
      <c r="E217" s="1" t="s">
        <v>24</v>
      </c>
      <c r="F217" s="1" t="s">
        <v>43</v>
      </c>
      <c r="G217" s="1">
        <v>9</v>
      </c>
      <c r="H217" s="2">
        <v>141.15</v>
      </c>
      <c r="I217" s="1">
        <v>5</v>
      </c>
      <c r="J217" s="1" t="s">
        <v>15</v>
      </c>
      <c r="K217" s="2">
        <f>SalesData[[#This Row],[Quantity]]*SalesData[[#This Row],[Unit Price]]*(1-SalesData[[#This Row],[Discount (%)]]/100)</f>
        <v>1206.8325</v>
      </c>
    </row>
    <row r="218" spans="1:11" x14ac:dyDescent="0.3">
      <c r="A218" s="6">
        <v>46171</v>
      </c>
      <c r="B218" s="1" t="s">
        <v>330</v>
      </c>
      <c r="C218" s="1" t="s">
        <v>160</v>
      </c>
      <c r="D218" s="1" t="s">
        <v>18</v>
      </c>
      <c r="E218" s="1" t="s">
        <v>13</v>
      </c>
      <c r="F218" s="1" t="s">
        <v>14</v>
      </c>
      <c r="G218" s="1">
        <v>2</v>
      </c>
      <c r="H218" s="2">
        <v>13.79</v>
      </c>
      <c r="I218" s="1">
        <v>15</v>
      </c>
      <c r="J218" s="1" t="s">
        <v>15</v>
      </c>
      <c r="K218" s="2">
        <f>SalesData[[#This Row],[Quantity]]*SalesData[[#This Row],[Unit Price]]*(1-SalesData[[#This Row],[Discount (%)]]/100)</f>
        <v>23.442999999999998</v>
      </c>
    </row>
    <row r="219" spans="1:11" x14ac:dyDescent="0.3">
      <c r="A219" s="6">
        <v>46075</v>
      </c>
      <c r="B219" s="1" t="s">
        <v>331</v>
      </c>
      <c r="C219" s="1" t="s">
        <v>69</v>
      </c>
      <c r="D219" s="1" t="s">
        <v>23</v>
      </c>
      <c r="E219" s="1" t="s">
        <v>50</v>
      </c>
      <c r="F219" s="1" t="s">
        <v>51</v>
      </c>
      <c r="G219" s="1">
        <v>1</v>
      </c>
      <c r="H219" s="2">
        <v>821.28</v>
      </c>
      <c r="I219" s="1">
        <v>10</v>
      </c>
      <c r="J219" s="1" t="s">
        <v>76</v>
      </c>
      <c r="K219" s="2">
        <f>SalesData[[#This Row],[Quantity]]*SalesData[[#This Row],[Unit Price]]*(1-SalesData[[#This Row],[Discount (%)]]/100)</f>
        <v>739.15200000000004</v>
      </c>
    </row>
    <row r="220" spans="1:11" x14ac:dyDescent="0.3">
      <c r="A220" s="6">
        <v>46208</v>
      </c>
      <c r="B220" s="1" t="s">
        <v>332</v>
      </c>
      <c r="C220" s="1" t="s">
        <v>184</v>
      </c>
      <c r="D220" s="1" t="s">
        <v>12</v>
      </c>
      <c r="E220" s="1" t="s">
        <v>29</v>
      </c>
      <c r="F220" s="1" t="s">
        <v>30</v>
      </c>
      <c r="G220" s="1">
        <v>8</v>
      </c>
      <c r="H220" s="2">
        <v>907.26</v>
      </c>
      <c r="I220" s="1">
        <v>5</v>
      </c>
      <c r="J220" s="1" t="s">
        <v>40</v>
      </c>
      <c r="K220" s="2">
        <f>SalesData[[#This Row],[Quantity]]*SalesData[[#This Row],[Unit Price]]*(1-SalesData[[#This Row],[Discount (%)]]/100)</f>
        <v>6895.1759999999995</v>
      </c>
    </row>
    <row r="221" spans="1:11" x14ac:dyDescent="0.3">
      <c r="A221" s="6">
        <v>46115</v>
      </c>
      <c r="B221" s="1" t="s">
        <v>333</v>
      </c>
      <c r="C221" s="1" t="s">
        <v>80</v>
      </c>
      <c r="D221" s="1" t="s">
        <v>18</v>
      </c>
      <c r="E221" s="1" t="s">
        <v>13</v>
      </c>
      <c r="F221" s="1" t="s">
        <v>14</v>
      </c>
      <c r="G221" s="1">
        <v>8</v>
      </c>
      <c r="H221" s="2">
        <v>1013.73</v>
      </c>
      <c r="I221" s="1">
        <v>15</v>
      </c>
      <c r="J221" s="1" t="s">
        <v>15</v>
      </c>
      <c r="K221" s="2">
        <f>SalesData[[#This Row],[Quantity]]*SalesData[[#This Row],[Unit Price]]*(1-SalesData[[#This Row],[Discount (%)]]/100)</f>
        <v>6893.3639999999996</v>
      </c>
    </row>
    <row r="222" spans="1:11" x14ac:dyDescent="0.3">
      <c r="A222" s="6">
        <v>46176</v>
      </c>
      <c r="B222" s="1" t="s">
        <v>334</v>
      </c>
      <c r="C222" s="1" t="s">
        <v>222</v>
      </c>
      <c r="D222" s="1" t="s">
        <v>35</v>
      </c>
      <c r="E222" s="1" t="s">
        <v>24</v>
      </c>
      <c r="F222" s="1" t="s">
        <v>36</v>
      </c>
      <c r="G222" s="1">
        <v>7</v>
      </c>
      <c r="H222" s="2">
        <v>1161.8</v>
      </c>
      <c r="I222" s="1">
        <v>5</v>
      </c>
      <c r="J222" s="1" t="s">
        <v>83</v>
      </c>
      <c r="K222" s="2">
        <f>SalesData[[#This Row],[Quantity]]*SalesData[[#This Row],[Unit Price]]*(1-SalesData[[#This Row],[Discount (%)]]/100)</f>
        <v>7725.9699999999993</v>
      </c>
    </row>
    <row r="223" spans="1:11" x14ac:dyDescent="0.3">
      <c r="A223" s="6">
        <v>46150</v>
      </c>
      <c r="B223" s="1" t="s">
        <v>335</v>
      </c>
      <c r="C223" s="1" t="s">
        <v>151</v>
      </c>
      <c r="D223" s="1" t="s">
        <v>23</v>
      </c>
      <c r="E223" s="1" t="s">
        <v>29</v>
      </c>
      <c r="F223" s="1" t="s">
        <v>39</v>
      </c>
      <c r="G223" s="1">
        <v>3</v>
      </c>
      <c r="H223" s="2">
        <v>357.46</v>
      </c>
      <c r="I223" s="1">
        <v>5</v>
      </c>
      <c r="J223" s="1" t="s">
        <v>26</v>
      </c>
      <c r="K223" s="2">
        <f>SalesData[[#This Row],[Quantity]]*SalesData[[#This Row],[Unit Price]]*(1-SalesData[[#This Row],[Discount (%)]]/100)</f>
        <v>1018.7609999999999</v>
      </c>
    </row>
    <row r="224" spans="1:11" x14ac:dyDescent="0.3">
      <c r="A224" s="6">
        <v>46045</v>
      </c>
      <c r="B224" s="1" t="s">
        <v>336</v>
      </c>
      <c r="C224" s="1" t="s">
        <v>337</v>
      </c>
      <c r="D224" s="1" t="s">
        <v>18</v>
      </c>
      <c r="E224" s="1" t="s">
        <v>13</v>
      </c>
      <c r="F224" s="1" t="s">
        <v>14</v>
      </c>
      <c r="G224" s="1">
        <v>7</v>
      </c>
      <c r="H224" s="2">
        <v>523.88</v>
      </c>
      <c r="I224" s="1">
        <v>15</v>
      </c>
      <c r="J224" s="1" t="s">
        <v>15</v>
      </c>
      <c r="K224" s="2">
        <f>SalesData[[#This Row],[Quantity]]*SalesData[[#This Row],[Unit Price]]*(1-SalesData[[#This Row],[Discount (%)]]/100)</f>
        <v>3117.0859999999998</v>
      </c>
    </row>
    <row r="225" spans="1:11" x14ac:dyDescent="0.3">
      <c r="A225" s="6">
        <v>46061</v>
      </c>
      <c r="B225" s="1" t="s">
        <v>338</v>
      </c>
      <c r="C225" s="1" t="s">
        <v>191</v>
      </c>
      <c r="D225" s="1" t="s">
        <v>35</v>
      </c>
      <c r="E225" s="1" t="s">
        <v>13</v>
      </c>
      <c r="F225" s="1" t="s">
        <v>19</v>
      </c>
      <c r="G225" s="1">
        <v>7</v>
      </c>
      <c r="H225" s="2">
        <v>491.11</v>
      </c>
      <c r="I225" s="1">
        <v>0</v>
      </c>
      <c r="J225" s="1" t="s">
        <v>76</v>
      </c>
      <c r="K225" s="2">
        <f>SalesData[[#This Row],[Quantity]]*SalesData[[#This Row],[Unit Price]]*(1-SalesData[[#This Row],[Discount (%)]]/100)</f>
        <v>3437.77</v>
      </c>
    </row>
    <row r="226" spans="1:11" x14ac:dyDescent="0.3">
      <c r="A226" s="6">
        <v>46078</v>
      </c>
      <c r="B226" s="1" t="s">
        <v>339</v>
      </c>
      <c r="C226" s="1" t="s">
        <v>71</v>
      </c>
      <c r="D226" s="1" t="s">
        <v>35</v>
      </c>
      <c r="E226" s="1" t="s">
        <v>13</v>
      </c>
      <c r="F226" s="1" t="s">
        <v>61</v>
      </c>
      <c r="G226" s="1">
        <v>1</v>
      </c>
      <c r="H226" s="2">
        <v>775.78</v>
      </c>
      <c r="I226" s="1">
        <v>5</v>
      </c>
      <c r="J226" s="1" t="s">
        <v>83</v>
      </c>
      <c r="K226" s="2">
        <f>SalesData[[#This Row],[Quantity]]*SalesData[[#This Row],[Unit Price]]*(1-SalesData[[#This Row],[Discount (%)]]/100)</f>
        <v>736.99099999999999</v>
      </c>
    </row>
    <row r="227" spans="1:11" x14ac:dyDescent="0.3">
      <c r="A227" s="6">
        <v>46054</v>
      </c>
      <c r="B227" s="1" t="s">
        <v>340</v>
      </c>
      <c r="C227" s="1" t="s">
        <v>80</v>
      </c>
      <c r="D227" s="1" t="s">
        <v>35</v>
      </c>
      <c r="E227" s="1" t="s">
        <v>24</v>
      </c>
      <c r="F227" s="1" t="s">
        <v>36</v>
      </c>
      <c r="G227" s="1">
        <v>5</v>
      </c>
      <c r="H227" s="2">
        <v>324</v>
      </c>
      <c r="I227" s="1">
        <v>15</v>
      </c>
      <c r="J227" s="1" t="s">
        <v>83</v>
      </c>
      <c r="K227" s="2">
        <f>SalesData[[#This Row],[Quantity]]*SalesData[[#This Row],[Unit Price]]*(1-SalesData[[#This Row],[Discount (%)]]/100)</f>
        <v>1377</v>
      </c>
    </row>
    <row r="228" spans="1:11" x14ac:dyDescent="0.3">
      <c r="A228" s="6">
        <v>46139</v>
      </c>
      <c r="B228" s="1" t="s">
        <v>341</v>
      </c>
      <c r="C228" s="1" t="s">
        <v>120</v>
      </c>
      <c r="D228" s="1" t="s">
        <v>35</v>
      </c>
      <c r="E228" s="1" t="s">
        <v>13</v>
      </c>
      <c r="F228" s="1" t="s">
        <v>19</v>
      </c>
      <c r="G228" s="1">
        <v>9</v>
      </c>
      <c r="H228" s="2">
        <v>811.44</v>
      </c>
      <c r="I228" s="1">
        <v>15</v>
      </c>
      <c r="J228" s="1" t="s">
        <v>26</v>
      </c>
      <c r="K228" s="2">
        <f>SalesData[[#This Row],[Quantity]]*SalesData[[#This Row],[Unit Price]]*(1-SalesData[[#This Row],[Discount (%)]]/100)</f>
        <v>6207.5160000000005</v>
      </c>
    </row>
    <row r="229" spans="1:11" x14ac:dyDescent="0.3">
      <c r="A229" s="6">
        <v>46106</v>
      </c>
      <c r="B229" s="1" t="s">
        <v>342</v>
      </c>
      <c r="C229" s="1" t="s">
        <v>131</v>
      </c>
      <c r="D229" s="1" t="s">
        <v>12</v>
      </c>
      <c r="E229" s="1" t="s">
        <v>50</v>
      </c>
      <c r="F229" s="1" t="s">
        <v>58</v>
      </c>
      <c r="G229" s="1">
        <v>9</v>
      </c>
      <c r="H229" s="2">
        <v>1014.2</v>
      </c>
      <c r="I229" s="1">
        <v>10</v>
      </c>
      <c r="J229" s="1" t="s">
        <v>83</v>
      </c>
      <c r="K229" s="2">
        <f>SalesData[[#This Row],[Quantity]]*SalesData[[#This Row],[Unit Price]]*(1-SalesData[[#This Row],[Discount (%)]]/100)</f>
        <v>8215.02</v>
      </c>
    </row>
    <row r="230" spans="1:11" x14ac:dyDescent="0.3">
      <c r="A230" s="6">
        <v>46033</v>
      </c>
      <c r="B230" s="1" t="s">
        <v>343</v>
      </c>
      <c r="C230" s="1" t="s">
        <v>100</v>
      </c>
      <c r="D230" s="1" t="s">
        <v>18</v>
      </c>
      <c r="E230" s="1" t="s">
        <v>50</v>
      </c>
      <c r="F230" s="1" t="s">
        <v>72</v>
      </c>
      <c r="G230" s="1">
        <v>5</v>
      </c>
      <c r="H230" s="2">
        <v>947.47</v>
      </c>
      <c r="I230" s="1">
        <v>15</v>
      </c>
      <c r="J230" s="1" t="s">
        <v>26</v>
      </c>
      <c r="K230" s="2">
        <f>SalesData[[#This Row],[Quantity]]*SalesData[[#This Row],[Unit Price]]*(1-SalesData[[#This Row],[Discount (%)]]/100)</f>
        <v>4026.7475000000004</v>
      </c>
    </row>
    <row r="231" spans="1:11" x14ac:dyDescent="0.3">
      <c r="A231" s="6">
        <v>46155</v>
      </c>
      <c r="B231" s="1" t="s">
        <v>344</v>
      </c>
      <c r="C231" s="1" t="s">
        <v>28</v>
      </c>
      <c r="D231" s="1" t="s">
        <v>12</v>
      </c>
      <c r="E231" s="1" t="s">
        <v>29</v>
      </c>
      <c r="F231" s="1" t="s">
        <v>65</v>
      </c>
      <c r="G231" s="1">
        <v>9</v>
      </c>
      <c r="H231" s="2">
        <v>149.75</v>
      </c>
      <c r="I231" s="1">
        <v>15</v>
      </c>
      <c r="J231" s="1" t="s">
        <v>40</v>
      </c>
      <c r="K231" s="2">
        <f>SalesData[[#This Row],[Quantity]]*SalesData[[#This Row],[Unit Price]]*(1-SalesData[[#This Row],[Discount (%)]]/100)</f>
        <v>1145.5874999999999</v>
      </c>
    </row>
    <row r="232" spans="1:11" x14ac:dyDescent="0.3">
      <c r="A232" s="6">
        <v>46041</v>
      </c>
      <c r="B232" s="1" t="s">
        <v>345</v>
      </c>
      <c r="C232" s="1" t="s">
        <v>104</v>
      </c>
      <c r="D232" s="1" t="s">
        <v>12</v>
      </c>
      <c r="E232" s="1" t="s">
        <v>13</v>
      </c>
      <c r="F232" s="1" t="s">
        <v>14</v>
      </c>
      <c r="G232" s="1">
        <v>1</v>
      </c>
      <c r="H232" s="2">
        <v>1023.52</v>
      </c>
      <c r="I232" s="1">
        <v>5</v>
      </c>
      <c r="J232" s="1" t="s">
        <v>26</v>
      </c>
      <c r="K232" s="2">
        <f>SalesData[[#This Row],[Quantity]]*SalesData[[#This Row],[Unit Price]]*(1-SalesData[[#This Row],[Discount (%)]]/100)</f>
        <v>972.34399999999994</v>
      </c>
    </row>
    <row r="233" spans="1:11" x14ac:dyDescent="0.3">
      <c r="A233" s="6">
        <v>46163</v>
      </c>
      <c r="B233" s="1" t="s">
        <v>346</v>
      </c>
      <c r="C233" s="1" t="s">
        <v>173</v>
      </c>
      <c r="D233" s="1" t="s">
        <v>23</v>
      </c>
      <c r="E233" s="1" t="s">
        <v>13</v>
      </c>
      <c r="F233" s="1" t="s">
        <v>19</v>
      </c>
      <c r="G233" s="1">
        <v>9</v>
      </c>
      <c r="H233" s="2">
        <v>826.29</v>
      </c>
      <c r="I233" s="1">
        <v>10</v>
      </c>
      <c r="J233" s="1" t="s">
        <v>20</v>
      </c>
      <c r="K233" s="2">
        <f>SalesData[[#This Row],[Quantity]]*SalesData[[#This Row],[Unit Price]]*(1-SalesData[[#This Row],[Discount (%)]]/100)</f>
        <v>6692.9489999999996</v>
      </c>
    </row>
    <row r="234" spans="1:11" x14ac:dyDescent="0.3">
      <c r="A234" s="6">
        <v>46186</v>
      </c>
      <c r="B234" s="1" t="s">
        <v>347</v>
      </c>
      <c r="C234" s="1" t="s">
        <v>69</v>
      </c>
      <c r="D234" s="1" t="s">
        <v>18</v>
      </c>
      <c r="E234" s="1" t="s">
        <v>13</v>
      </c>
      <c r="F234" s="1" t="s">
        <v>14</v>
      </c>
      <c r="G234" s="1">
        <v>3</v>
      </c>
      <c r="H234" s="2">
        <v>342.31</v>
      </c>
      <c r="I234" s="1">
        <v>5</v>
      </c>
      <c r="J234" s="1" t="s">
        <v>26</v>
      </c>
      <c r="K234" s="2">
        <f>SalesData[[#This Row],[Quantity]]*SalesData[[#This Row],[Unit Price]]*(1-SalesData[[#This Row],[Discount (%)]]/100)</f>
        <v>975.58349999999996</v>
      </c>
    </row>
    <row r="235" spans="1:11" x14ac:dyDescent="0.3">
      <c r="A235" s="6">
        <v>46071</v>
      </c>
      <c r="B235" s="1" t="s">
        <v>348</v>
      </c>
      <c r="C235" s="1" t="s">
        <v>42</v>
      </c>
      <c r="D235" s="1" t="s">
        <v>12</v>
      </c>
      <c r="E235" s="1" t="s">
        <v>29</v>
      </c>
      <c r="F235" s="1" t="s">
        <v>39</v>
      </c>
      <c r="G235" s="1">
        <v>5</v>
      </c>
      <c r="H235" s="2">
        <v>484.27</v>
      </c>
      <c r="I235" s="1">
        <v>0</v>
      </c>
      <c r="J235" s="1" t="s">
        <v>20</v>
      </c>
      <c r="K235" s="2">
        <f>SalesData[[#This Row],[Quantity]]*SalesData[[#This Row],[Unit Price]]*(1-SalesData[[#This Row],[Discount (%)]]/100)</f>
        <v>2421.35</v>
      </c>
    </row>
    <row r="236" spans="1:11" x14ac:dyDescent="0.3">
      <c r="A236" s="6">
        <v>46057</v>
      </c>
      <c r="B236" s="1" t="s">
        <v>349</v>
      </c>
      <c r="C236" s="1" t="s">
        <v>295</v>
      </c>
      <c r="D236" s="1" t="s">
        <v>18</v>
      </c>
      <c r="E236" s="1" t="s">
        <v>29</v>
      </c>
      <c r="F236" s="1" t="s">
        <v>30</v>
      </c>
      <c r="G236" s="1">
        <v>7</v>
      </c>
      <c r="H236" s="2">
        <v>1177.26</v>
      </c>
      <c r="I236" s="1">
        <v>15</v>
      </c>
      <c r="J236" s="1" t="s">
        <v>83</v>
      </c>
      <c r="K236" s="2">
        <f>SalesData[[#This Row],[Quantity]]*SalesData[[#This Row],[Unit Price]]*(1-SalesData[[#This Row],[Discount (%)]]/100)</f>
        <v>7004.6969999999992</v>
      </c>
    </row>
    <row r="237" spans="1:11" x14ac:dyDescent="0.3">
      <c r="A237" s="6">
        <v>46088</v>
      </c>
      <c r="B237" s="1" t="s">
        <v>350</v>
      </c>
      <c r="C237" s="1" t="s">
        <v>179</v>
      </c>
      <c r="D237" s="1" t="s">
        <v>18</v>
      </c>
      <c r="E237" s="1" t="s">
        <v>13</v>
      </c>
      <c r="F237" s="1" t="s">
        <v>14</v>
      </c>
      <c r="G237" s="1">
        <v>2</v>
      </c>
      <c r="H237" s="2">
        <v>492.76</v>
      </c>
      <c r="I237" s="1">
        <v>5</v>
      </c>
      <c r="J237" s="1" t="s">
        <v>26</v>
      </c>
      <c r="K237" s="2">
        <f>SalesData[[#This Row],[Quantity]]*SalesData[[#This Row],[Unit Price]]*(1-SalesData[[#This Row],[Discount (%)]]/100)</f>
        <v>936.24399999999991</v>
      </c>
    </row>
    <row r="238" spans="1:11" x14ac:dyDescent="0.3">
      <c r="A238" s="6">
        <v>46108</v>
      </c>
      <c r="B238" s="1" t="s">
        <v>351</v>
      </c>
      <c r="C238" s="1" t="s">
        <v>34</v>
      </c>
      <c r="D238" s="1" t="s">
        <v>35</v>
      </c>
      <c r="E238" s="1" t="s">
        <v>24</v>
      </c>
      <c r="F238" s="1" t="s">
        <v>25</v>
      </c>
      <c r="G238" s="1">
        <v>6</v>
      </c>
      <c r="H238" s="2">
        <v>451.74</v>
      </c>
      <c r="I238" s="1">
        <v>15</v>
      </c>
      <c r="J238" s="1" t="s">
        <v>26</v>
      </c>
      <c r="K238" s="2">
        <f>SalesData[[#This Row],[Quantity]]*SalesData[[#This Row],[Unit Price]]*(1-SalesData[[#This Row],[Discount (%)]]/100)</f>
        <v>2303.8739999999998</v>
      </c>
    </row>
    <row r="239" spans="1:11" x14ac:dyDescent="0.3">
      <c r="A239" s="6">
        <v>46040</v>
      </c>
      <c r="B239" s="1" t="s">
        <v>352</v>
      </c>
      <c r="C239" s="1" t="s">
        <v>17</v>
      </c>
      <c r="D239" s="1" t="s">
        <v>18</v>
      </c>
      <c r="E239" s="1" t="s">
        <v>29</v>
      </c>
      <c r="F239" s="1" t="s">
        <v>39</v>
      </c>
      <c r="G239" s="1">
        <v>10</v>
      </c>
      <c r="H239" s="2">
        <v>650.41999999999996</v>
      </c>
      <c r="I239" s="1">
        <v>0</v>
      </c>
      <c r="J239" s="1" t="s">
        <v>20</v>
      </c>
      <c r="K239" s="2">
        <f>SalesData[[#This Row],[Quantity]]*SalesData[[#This Row],[Unit Price]]*(1-SalesData[[#This Row],[Discount (%)]]/100)</f>
        <v>6504.2</v>
      </c>
    </row>
    <row r="240" spans="1:11" x14ac:dyDescent="0.3">
      <c r="A240" s="6">
        <v>46216</v>
      </c>
      <c r="B240" s="1" t="s">
        <v>353</v>
      </c>
      <c r="C240" s="1" t="s">
        <v>250</v>
      </c>
      <c r="D240" s="1" t="s">
        <v>35</v>
      </c>
      <c r="E240" s="1" t="s">
        <v>50</v>
      </c>
      <c r="F240" s="1" t="s">
        <v>58</v>
      </c>
      <c r="G240" s="1">
        <v>9</v>
      </c>
      <c r="H240" s="2">
        <v>116.9</v>
      </c>
      <c r="I240" s="1">
        <v>5</v>
      </c>
      <c r="J240" s="1" t="s">
        <v>26</v>
      </c>
      <c r="K240" s="2">
        <f>SalesData[[#This Row],[Quantity]]*SalesData[[#This Row],[Unit Price]]*(1-SalesData[[#This Row],[Discount (%)]]/100)</f>
        <v>999.49500000000012</v>
      </c>
    </row>
    <row r="241" spans="1:11" x14ac:dyDescent="0.3">
      <c r="A241" s="6">
        <v>46219</v>
      </c>
      <c r="B241" s="1" t="s">
        <v>354</v>
      </c>
      <c r="C241" s="1" t="s">
        <v>47</v>
      </c>
      <c r="D241" s="1" t="s">
        <v>23</v>
      </c>
      <c r="E241" s="1" t="s">
        <v>50</v>
      </c>
      <c r="F241" s="1" t="s">
        <v>63</v>
      </c>
      <c r="G241" s="1">
        <v>8</v>
      </c>
      <c r="H241" s="2">
        <v>126.64</v>
      </c>
      <c r="I241" s="1">
        <v>15</v>
      </c>
      <c r="J241" s="1" t="s">
        <v>26</v>
      </c>
      <c r="K241" s="2">
        <f>SalesData[[#This Row],[Quantity]]*SalesData[[#This Row],[Unit Price]]*(1-SalesData[[#This Row],[Discount (%)]]/100)</f>
        <v>861.15199999999993</v>
      </c>
    </row>
    <row r="242" spans="1:11" x14ac:dyDescent="0.3">
      <c r="A242" s="6">
        <v>46202</v>
      </c>
      <c r="B242" s="1" t="s">
        <v>355</v>
      </c>
      <c r="C242" s="1" t="s">
        <v>106</v>
      </c>
      <c r="D242" s="1" t="s">
        <v>23</v>
      </c>
      <c r="E242" s="1" t="s">
        <v>24</v>
      </c>
      <c r="F242" s="1" t="s">
        <v>36</v>
      </c>
      <c r="G242" s="1">
        <v>6</v>
      </c>
      <c r="H242" s="2">
        <v>562.16999999999996</v>
      </c>
      <c r="I242" s="1">
        <v>0</v>
      </c>
      <c r="J242" s="1" t="s">
        <v>40</v>
      </c>
      <c r="K242" s="2">
        <f>SalesData[[#This Row],[Quantity]]*SalesData[[#This Row],[Unit Price]]*(1-SalesData[[#This Row],[Discount (%)]]/100)</f>
        <v>3373.0199999999995</v>
      </c>
    </row>
    <row r="243" spans="1:11" x14ac:dyDescent="0.3">
      <c r="A243" s="6">
        <v>46077</v>
      </c>
      <c r="B243" s="1" t="s">
        <v>356</v>
      </c>
      <c r="C243" s="1" t="s">
        <v>260</v>
      </c>
      <c r="D243" s="1" t="s">
        <v>23</v>
      </c>
      <c r="E243" s="1" t="s">
        <v>24</v>
      </c>
      <c r="F243" s="1" t="s">
        <v>43</v>
      </c>
      <c r="G243" s="1">
        <v>6</v>
      </c>
      <c r="H243" s="2">
        <v>898.24</v>
      </c>
      <c r="I243" s="1">
        <v>0</v>
      </c>
      <c r="J243" s="1" t="s">
        <v>40</v>
      </c>
      <c r="K243" s="2">
        <f>SalesData[[#This Row],[Quantity]]*SalesData[[#This Row],[Unit Price]]*(1-SalesData[[#This Row],[Discount (%)]]/100)</f>
        <v>5389.4400000000005</v>
      </c>
    </row>
    <row r="244" spans="1:11" x14ac:dyDescent="0.3">
      <c r="A244" s="6">
        <v>46060</v>
      </c>
      <c r="B244" s="1" t="s">
        <v>357</v>
      </c>
      <c r="C244" s="1" t="s">
        <v>219</v>
      </c>
      <c r="D244" s="1" t="s">
        <v>35</v>
      </c>
      <c r="E244" s="1" t="s">
        <v>13</v>
      </c>
      <c r="F244" s="1" t="s">
        <v>61</v>
      </c>
      <c r="G244" s="1">
        <v>2</v>
      </c>
      <c r="H244" s="2">
        <v>880.02</v>
      </c>
      <c r="I244" s="1">
        <v>15</v>
      </c>
      <c r="J244" s="1" t="s">
        <v>26</v>
      </c>
      <c r="K244" s="2">
        <f>SalesData[[#This Row],[Quantity]]*SalesData[[#This Row],[Unit Price]]*(1-SalesData[[#This Row],[Discount (%)]]/100)</f>
        <v>1496.0339999999999</v>
      </c>
    </row>
    <row r="245" spans="1:11" x14ac:dyDescent="0.3">
      <c r="A245" s="6">
        <v>46117</v>
      </c>
      <c r="B245" s="1" t="s">
        <v>358</v>
      </c>
      <c r="C245" s="1" t="s">
        <v>359</v>
      </c>
      <c r="D245" s="1" t="s">
        <v>35</v>
      </c>
      <c r="E245" s="1" t="s">
        <v>50</v>
      </c>
      <c r="F245" s="1" t="s">
        <v>72</v>
      </c>
      <c r="G245" s="1">
        <v>6</v>
      </c>
      <c r="H245" s="2">
        <v>1016.26</v>
      </c>
      <c r="I245" s="1">
        <v>5</v>
      </c>
      <c r="J245" s="1" t="s">
        <v>83</v>
      </c>
      <c r="K245" s="2">
        <f>SalesData[[#This Row],[Quantity]]*SalesData[[#This Row],[Unit Price]]*(1-SalesData[[#This Row],[Discount (%)]]/100)</f>
        <v>5792.6819999999989</v>
      </c>
    </row>
    <row r="246" spans="1:11" x14ac:dyDescent="0.3">
      <c r="A246" s="6">
        <v>46126</v>
      </c>
      <c r="B246" s="1" t="s">
        <v>360</v>
      </c>
      <c r="C246" s="1" t="s">
        <v>202</v>
      </c>
      <c r="D246" s="1" t="s">
        <v>35</v>
      </c>
      <c r="E246" s="1" t="s">
        <v>13</v>
      </c>
      <c r="F246" s="1" t="s">
        <v>19</v>
      </c>
      <c r="G246" s="1">
        <v>5</v>
      </c>
      <c r="H246" s="2">
        <v>1168.8599999999999</v>
      </c>
      <c r="I246" s="1">
        <v>5</v>
      </c>
      <c r="J246" s="1" t="s">
        <v>26</v>
      </c>
      <c r="K246" s="2">
        <f>SalesData[[#This Row],[Quantity]]*SalesData[[#This Row],[Unit Price]]*(1-SalesData[[#This Row],[Discount (%)]]/100)</f>
        <v>5552.0849999999991</v>
      </c>
    </row>
    <row r="247" spans="1:11" x14ac:dyDescent="0.3">
      <c r="A247" s="6">
        <v>46100</v>
      </c>
      <c r="B247" s="1" t="s">
        <v>361</v>
      </c>
      <c r="C247" s="1" t="s">
        <v>155</v>
      </c>
      <c r="D247" s="1" t="s">
        <v>23</v>
      </c>
      <c r="E247" s="1" t="s">
        <v>24</v>
      </c>
      <c r="F247" s="1" t="s">
        <v>25</v>
      </c>
      <c r="G247" s="1">
        <v>9</v>
      </c>
      <c r="H247" s="2">
        <v>1124.96</v>
      </c>
      <c r="I247" s="1">
        <v>0</v>
      </c>
      <c r="J247" s="1" t="s">
        <v>20</v>
      </c>
      <c r="K247" s="2">
        <f>SalesData[[#This Row],[Quantity]]*SalesData[[#This Row],[Unit Price]]*(1-SalesData[[#This Row],[Discount (%)]]/100)</f>
        <v>10124.64</v>
      </c>
    </row>
    <row r="248" spans="1:11" x14ac:dyDescent="0.3">
      <c r="A248" s="6">
        <v>46042</v>
      </c>
      <c r="B248" s="1" t="s">
        <v>362</v>
      </c>
      <c r="C248" s="1" t="s">
        <v>75</v>
      </c>
      <c r="D248" s="1" t="s">
        <v>12</v>
      </c>
      <c r="E248" s="1" t="s">
        <v>50</v>
      </c>
      <c r="F248" s="1" t="s">
        <v>58</v>
      </c>
      <c r="G248" s="1">
        <v>9</v>
      </c>
      <c r="H248" s="2">
        <v>522.04</v>
      </c>
      <c r="I248" s="1">
        <v>10</v>
      </c>
      <c r="J248" s="1" t="s">
        <v>76</v>
      </c>
      <c r="K248" s="2">
        <f>SalesData[[#This Row],[Quantity]]*SalesData[[#This Row],[Unit Price]]*(1-SalesData[[#This Row],[Discount (%)]]/100)</f>
        <v>4228.5239999999994</v>
      </c>
    </row>
    <row r="249" spans="1:11" x14ac:dyDescent="0.3">
      <c r="A249" s="6">
        <v>46190</v>
      </c>
      <c r="B249" s="1" t="s">
        <v>363</v>
      </c>
      <c r="C249" s="1" t="s">
        <v>359</v>
      </c>
      <c r="D249" s="1" t="s">
        <v>18</v>
      </c>
      <c r="E249" s="1" t="s">
        <v>29</v>
      </c>
      <c r="F249" s="1" t="s">
        <v>65</v>
      </c>
      <c r="G249" s="1">
        <v>7</v>
      </c>
      <c r="H249" s="2">
        <v>290.63</v>
      </c>
      <c r="I249" s="1">
        <v>5</v>
      </c>
      <c r="J249" s="1" t="s">
        <v>40</v>
      </c>
      <c r="K249" s="2">
        <f>SalesData[[#This Row],[Quantity]]*SalesData[[#This Row],[Unit Price]]*(1-SalesData[[#This Row],[Discount (%)]]/100)</f>
        <v>1932.6894999999997</v>
      </c>
    </row>
    <row r="250" spans="1:11" x14ac:dyDescent="0.3">
      <c r="A250" s="6">
        <v>46112</v>
      </c>
      <c r="B250" s="1" t="s">
        <v>364</v>
      </c>
      <c r="C250" s="1" t="s">
        <v>80</v>
      </c>
      <c r="D250" s="1" t="s">
        <v>12</v>
      </c>
      <c r="E250" s="1" t="s">
        <v>13</v>
      </c>
      <c r="F250" s="1" t="s">
        <v>19</v>
      </c>
      <c r="G250" s="1">
        <v>3</v>
      </c>
      <c r="H250" s="2">
        <v>501.83</v>
      </c>
      <c r="I250" s="1">
        <v>0</v>
      </c>
      <c r="J250" s="1" t="s">
        <v>26</v>
      </c>
      <c r="K250" s="2">
        <f>SalesData[[#This Row],[Quantity]]*SalesData[[#This Row],[Unit Price]]*(1-SalesData[[#This Row],[Discount (%)]]/100)</f>
        <v>1505.49</v>
      </c>
    </row>
    <row r="251" spans="1:11" x14ac:dyDescent="0.3">
      <c r="A251" s="6">
        <v>46146</v>
      </c>
      <c r="B251" s="1" t="s">
        <v>365</v>
      </c>
      <c r="C251" s="1" t="s">
        <v>86</v>
      </c>
      <c r="D251" s="1" t="s">
        <v>12</v>
      </c>
      <c r="E251" s="1" t="s">
        <v>29</v>
      </c>
      <c r="F251" s="1" t="s">
        <v>65</v>
      </c>
      <c r="G251" s="1">
        <v>5</v>
      </c>
      <c r="H251" s="2">
        <v>144.13999999999999</v>
      </c>
      <c r="I251" s="1">
        <v>5</v>
      </c>
      <c r="J251" s="1" t="s">
        <v>40</v>
      </c>
      <c r="K251" s="2">
        <f>SalesData[[#This Row],[Quantity]]*SalesData[[#This Row],[Unit Price]]*(1-SalesData[[#This Row],[Discount (%)]]/100)</f>
        <v>684.66499999999985</v>
      </c>
    </row>
    <row r="252" spans="1:11" x14ac:dyDescent="0.3">
      <c r="A252" s="6">
        <v>46231</v>
      </c>
      <c r="B252" s="1" t="s">
        <v>366</v>
      </c>
      <c r="C252" s="1" t="s">
        <v>125</v>
      </c>
      <c r="D252" s="1" t="s">
        <v>23</v>
      </c>
      <c r="E252" s="1" t="s">
        <v>24</v>
      </c>
      <c r="F252" s="1" t="s">
        <v>43</v>
      </c>
      <c r="G252" s="1">
        <v>1</v>
      </c>
      <c r="H252" s="2">
        <v>365.1</v>
      </c>
      <c r="I252" s="1">
        <v>15</v>
      </c>
      <c r="J252" s="1" t="s">
        <v>40</v>
      </c>
      <c r="K252" s="2">
        <f>SalesData[[#This Row],[Quantity]]*SalesData[[#This Row],[Unit Price]]*(1-SalesData[[#This Row],[Discount (%)]]/100)</f>
        <v>310.33500000000004</v>
      </c>
    </row>
    <row r="253" spans="1:11" x14ac:dyDescent="0.3">
      <c r="A253" s="6">
        <v>46044</v>
      </c>
      <c r="B253" s="1" t="s">
        <v>367</v>
      </c>
      <c r="C253" s="1" t="s">
        <v>38</v>
      </c>
      <c r="D253" s="1" t="s">
        <v>18</v>
      </c>
      <c r="E253" s="1" t="s">
        <v>24</v>
      </c>
      <c r="F253" s="1" t="s">
        <v>36</v>
      </c>
      <c r="G253" s="1">
        <v>8</v>
      </c>
      <c r="H253" s="2">
        <v>954.44</v>
      </c>
      <c r="I253" s="1">
        <v>10</v>
      </c>
      <c r="J253" s="1" t="s">
        <v>26</v>
      </c>
      <c r="K253" s="2">
        <f>SalesData[[#This Row],[Quantity]]*SalesData[[#This Row],[Unit Price]]*(1-SalesData[[#This Row],[Discount (%)]]/100)</f>
        <v>6871.9680000000008</v>
      </c>
    </row>
    <row r="254" spans="1:11" x14ac:dyDescent="0.3">
      <c r="A254" s="6">
        <v>46105</v>
      </c>
      <c r="B254" s="1" t="s">
        <v>368</v>
      </c>
      <c r="C254" s="1" t="s">
        <v>155</v>
      </c>
      <c r="D254" s="1" t="s">
        <v>35</v>
      </c>
      <c r="E254" s="1" t="s">
        <v>13</v>
      </c>
      <c r="F254" s="1" t="s">
        <v>14</v>
      </c>
      <c r="G254" s="1">
        <v>7</v>
      </c>
      <c r="H254" s="2">
        <v>616.80999999999995</v>
      </c>
      <c r="I254" s="1">
        <v>0</v>
      </c>
      <c r="J254" s="1" t="s">
        <v>26</v>
      </c>
      <c r="K254" s="2">
        <f>SalesData[[#This Row],[Quantity]]*SalesData[[#This Row],[Unit Price]]*(1-SalesData[[#This Row],[Discount (%)]]/100)</f>
        <v>4317.67</v>
      </c>
    </row>
    <row r="255" spans="1:11" x14ac:dyDescent="0.3">
      <c r="A255" s="6">
        <v>46193</v>
      </c>
      <c r="B255" s="1" t="s">
        <v>369</v>
      </c>
      <c r="C255" s="1" t="s">
        <v>266</v>
      </c>
      <c r="D255" s="1" t="s">
        <v>12</v>
      </c>
      <c r="E255" s="1" t="s">
        <v>29</v>
      </c>
      <c r="F255" s="1" t="s">
        <v>39</v>
      </c>
      <c r="G255" s="1">
        <v>2</v>
      </c>
      <c r="H255" s="2">
        <v>623.16</v>
      </c>
      <c r="I255" s="1">
        <v>0</v>
      </c>
      <c r="J255" s="1" t="s">
        <v>40</v>
      </c>
      <c r="K255" s="2">
        <f>SalesData[[#This Row],[Quantity]]*SalesData[[#This Row],[Unit Price]]*(1-SalesData[[#This Row],[Discount (%)]]/100)</f>
        <v>1246.32</v>
      </c>
    </row>
    <row r="256" spans="1:11" x14ac:dyDescent="0.3">
      <c r="A256" s="6">
        <v>46144</v>
      </c>
      <c r="B256" s="1" t="s">
        <v>370</v>
      </c>
      <c r="C256" s="1" t="s">
        <v>28</v>
      </c>
      <c r="D256" s="1" t="s">
        <v>35</v>
      </c>
      <c r="E256" s="1" t="s">
        <v>29</v>
      </c>
      <c r="F256" s="1" t="s">
        <v>39</v>
      </c>
      <c r="G256" s="1">
        <v>8</v>
      </c>
      <c r="H256" s="2">
        <v>492.34</v>
      </c>
      <c r="I256" s="1">
        <v>15</v>
      </c>
      <c r="J256" s="1" t="s">
        <v>26</v>
      </c>
      <c r="K256" s="2">
        <f>SalesData[[#This Row],[Quantity]]*SalesData[[#This Row],[Unit Price]]*(1-SalesData[[#This Row],[Discount (%)]]/100)</f>
        <v>3347.9119999999998</v>
      </c>
    </row>
    <row r="257" spans="1:11" x14ac:dyDescent="0.3">
      <c r="A257" s="6">
        <v>46049</v>
      </c>
      <c r="B257" s="1" t="s">
        <v>371</v>
      </c>
      <c r="C257" s="1" t="s">
        <v>166</v>
      </c>
      <c r="D257" s="1" t="s">
        <v>23</v>
      </c>
      <c r="E257" s="1" t="s">
        <v>29</v>
      </c>
      <c r="F257" s="1" t="s">
        <v>30</v>
      </c>
      <c r="G257" s="1">
        <v>5</v>
      </c>
      <c r="H257" s="2">
        <v>154.47999999999999</v>
      </c>
      <c r="I257" s="1">
        <v>5</v>
      </c>
      <c r="J257" s="1" t="s">
        <v>83</v>
      </c>
      <c r="K257" s="2">
        <f>SalesData[[#This Row],[Quantity]]*SalesData[[#This Row],[Unit Price]]*(1-SalesData[[#This Row],[Discount (%)]]/100)</f>
        <v>733.78</v>
      </c>
    </row>
    <row r="258" spans="1:11" x14ac:dyDescent="0.3">
      <c r="A258" s="6">
        <v>46125</v>
      </c>
      <c r="B258" s="1" t="s">
        <v>372</v>
      </c>
      <c r="C258" s="1" t="s">
        <v>109</v>
      </c>
      <c r="D258" s="1" t="s">
        <v>12</v>
      </c>
      <c r="E258" s="1" t="s">
        <v>13</v>
      </c>
      <c r="F258" s="1" t="s">
        <v>19</v>
      </c>
      <c r="G258" s="1">
        <v>5</v>
      </c>
      <c r="H258" s="2">
        <v>1036.03</v>
      </c>
      <c r="I258" s="1">
        <v>10</v>
      </c>
      <c r="J258" s="1" t="s">
        <v>20</v>
      </c>
      <c r="K258" s="2">
        <f>SalesData[[#This Row],[Quantity]]*SalesData[[#This Row],[Unit Price]]*(1-SalesData[[#This Row],[Discount (%)]]/100)</f>
        <v>4662.1350000000002</v>
      </c>
    </row>
    <row r="259" spans="1:11" x14ac:dyDescent="0.3">
      <c r="A259" s="6">
        <v>46196</v>
      </c>
      <c r="B259" s="1" t="s">
        <v>373</v>
      </c>
      <c r="C259" s="1" t="s">
        <v>89</v>
      </c>
      <c r="D259" s="1" t="s">
        <v>12</v>
      </c>
      <c r="E259" s="1" t="s">
        <v>13</v>
      </c>
      <c r="F259" s="1" t="s">
        <v>19</v>
      </c>
      <c r="G259" s="1">
        <v>2</v>
      </c>
      <c r="H259" s="2">
        <v>454.28</v>
      </c>
      <c r="I259" s="1">
        <v>15</v>
      </c>
      <c r="J259" s="1" t="s">
        <v>40</v>
      </c>
      <c r="K259" s="2">
        <f>SalesData[[#This Row],[Quantity]]*SalesData[[#This Row],[Unit Price]]*(1-SalesData[[#This Row],[Discount (%)]]/100)</f>
        <v>772.27599999999995</v>
      </c>
    </row>
    <row r="260" spans="1:11" x14ac:dyDescent="0.3">
      <c r="A260" s="6">
        <v>46061</v>
      </c>
      <c r="B260" s="1" t="s">
        <v>374</v>
      </c>
      <c r="C260" s="1" t="s">
        <v>295</v>
      </c>
      <c r="D260" s="1" t="s">
        <v>12</v>
      </c>
      <c r="E260" s="1" t="s">
        <v>29</v>
      </c>
      <c r="F260" s="1" t="s">
        <v>30</v>
      </c>
      <c r="G260" s="1">
        <v>3</v>
      </c>
      <c r="H260" s="2">
        <v>927.65</v>
      </c>
      <c r="I260" s="1">
        <v>5</v>
      </c>
      <c r="J260" s="1" t="s">
        <v>40</v>
      </c>
      <c r="K260" s="2">
        <f>SalesData[[#This Row],[Quantity]]*SalesData[[#This Row],[Unit Price]]*(1-SalesData[[#This Row],[Discount (%)]]/100)</f>
        <v>2643.8024999999998</v>
      </c>
    </row>
    <row r="261" spans="1:11" x14ac:dyDescent="0.3">
      <c r="A261" s="6">
        <v>46098</v>
      </c>
      <c r="B261" s="1" t="s">
        <v>375</v>
      </c>
      <c r="C261" s="1" t="s">
        <v>60</v>
      </c>
      <c r="D261" s="1" t="s">
        <v>35</v>
      </c>
      <c r="E261" s="1" t="s">
        <v>13</v>
      </c>
      <c r="F261" s="1" t="s">
        <v>61</v>
      </c>
      <c r="G261" s="1">
        <v>1</v>
      </c>
      <c r="H261" s="2">
        <v>639.85</v>
      </c>
      <c r="I261" s="1">
        <v>0</v>
      </c>
      <c r="J261" s="1" t="s">
        <v>40</v>
      </c>
      <c r="K261" s="2">
        <f>SalesData[[#This Row],[Quantity]]*SalesData[[#This Row],[Unit Price]]*(1-SalesData[[#This Row],[Discount (%)]]/100)</f>
        <v>639.85</v>
      </c>
    </row>
    <row r="262" spans="1:11" x14ac:dyDescent="0.3">
      <c r="A262" s="6">
        <v>46034</v>
      </c>
      <c r="B262" s="1" t="s">
        <v>376</v>
      </c>
      <c r="C262" s="1" t="s">
        <v>295</v>
      </c>
      <c r="D262" s="1" t="s">
        <v>23</v>
      </c>
      <c r="E262" s="1" t="s">
        <v>13</v>
      </c>
      <c r="F262" s="1" t="s">
        <v>14</v>
      </c>
      <c r="G262" s="1">
        <v>1</v>
      </c>
      <c r="H262" s="2">
        <v>886.85</v>
      </c>
      <c r="I262" s="1">
        <v>10</v>
      </c>
      <c r="J262" s="1" t="s">
        <v>26</v>
      </c>
      <c r="K262" s="2">
        <f>SalesData[[#This Row],[Quantity]]*SalesData[[#This Row],[Unit Price]]*(1-SalesData[[#This Row],[Discount (%)]]/100)</f>
        <v>798.16500000000008</v>
      </c>
    </row>
    <row r="263" spans="1:11" x14ac:dyDescent="0.3">
      <c r="A263" s="6">
        <v>46035</v>
      </c>
      <c r="B263" s="1" t="s">
        <v>377</v>
      </c>
      <c r="C263" s="1" t="s">
        <v>151</v>
      </c>
      <c r="D263" s="1" t="s">
        <v>35</v>
      </c>
      <c r="E263" s="1" t="s">
        <v>50</v>
      </c>
      <c r="F263" s="1" t="s">
        <v>63</v>
      </c>
      <c r="G263" s="1">
        <v>4</v>
      </c>
      <c r="H263" s="2">
        <v>366.28</v>
      </c>
      <c r="I263" s="1">
        <v>10</v>
      </c>
      <c r="J263" s="1" t="s">
        <v>15</v>
      </c>
      <c r="K263" s="2">
        <f>SalesData[[#This Row],[Quantity]]*SalesData[[#This Row],[Unit Price]]*(1-SalesData[[#This Row],[Discount (%)]]/100)</f>
        <v>1318.6079999999999</v>
      </c>
    </row>
    <row r="264" spans="1:11" x14ac:dyDescent="0.3">
      <c r="A264" s="6">
        <v>46215</v>
      </c>
      <c r="B264" s="1" t="s">
        <v>378</v>
      </c>
      <c r="C264" s="1" t="s">
        <v>295</v>
      </c>
      <c r="D264" s="1" t="s">
        <v>23</v>
      </c>
      <c r="E264" s="1" t="s">
        <v>24</v>
      </c>
      <c r="F264" s="1" t="s">
        <v>43</v>
      </c>
      <c r="G264" s="1">
        <v>1</v>
      </c>
      <c r="H264" s="2">
        <v>94.27</v>
      </c>
      <c r="I264" s="1">
        <v>5</v>
      </c>
      <c r="J264" s="1" t="s">
        <v>40</v>
      </c>
      <c r="K264" s="2">
        <f>SalesData[[#This Row],[Quantity]]*SalesData[[#This Row],[Unit Price]]*(1-SalesData[[#This Row],[Discount (%)]]/100)</f>
        <v>89.556499999999986</v>
      </c>
    </row>
    <row r="265" spans="1:11" x14ac:dyDescent="0.3">
      <c r="A265" s="6">
        <v>46198</v>
      </c>
      <c r="B265" s="1" t="s">
        <v>379</v>
      </c>
      <c r="C265" s="1" t="s">
        <v>166</v>
      </c>
      <c r="D265" s="1" t="s">
        <v>23</v>
      </c>
      <c r="E265" s="1" t="s">
        <v>24</v>
      </c>
      <c r="F265" s="1" t="s">
        <v>36</v>
      </c>
      <c r="G265" s="1">
        <v>7</v>
      </c>
      <c r="H265" s="2">
        <v>859.86</v>
      </c>
      <c r="I265" s="1">
        <v>15</v>
      </c>
      <c r="J265" s="1" t="s">
        <v>26</v>
      </c>
      <c r="K265" s="2">
        <f>SalesData[[#This Row],[Quantity]]*SalesData[[#This Row],[Unit Price]]*(1-SalesData[[#This Row],[Discount (%)]]/100)</f>
        <v>5116.1670000000004</v>
      </c>
    </row>
    <row r="266" spans="1:11" x14ac:dyDescent="0.3">
      <c r="A266" s="6">
        <v>46024</v>
      </c>
      <c r="B266" s="1" t="s">
        <v>380</v>
      </c>
      <c r="C266" s="1" t="s">
        <v>98</v>
      </c>
      <c r="D266" s="1" t="s">
        <v>18</v>
      </c>
      <c r="E266" s="1" t="s">
        <v>50</v>
      </c>
      <c r="F266" s="1" t="s">
        <v>51</v>
      </c>
      <c r="G266" s="1">
        <v>10</v>
      </c>
      <c r="H266" s="2">
        <v>301.04000000000002</v>
      </c>
      <c r="I266" s="1">
        <v>10</v>
      </c>
      <c r="J266" s="1" t="s">
        <v>76</v>
      </c>
      <c r="K266" s="2">
        <f>SalesData[[#This Row],[Quantity]]*SalesData[[#This Row],[Unit Price]]*(1-SalesData[[#This Row],[Discount (%)]]/100)</f>
        <v>2709.36</v>
      </c>
    </row>
    <row r="267" spans="1:11" x14ac:dyDescent="0.3">
      <c r="A267" s="6">
        <v>46038</v>
      </c>
      <c r="B267" s="1" t="s">
        <v>381</v>
      </c>
      <c r="C267" s="1" t="s">
        <v>100</v>
      </c>
      <c r="D267" s="1" t="s">
        <v>35</v>
      </c>
      <c r="E267" s="1" t="s">
        <v>29</v>
      </c>
      <c r="F267" s="1" t="s">
        <v>30</v>
      </c>
      <c r="G267" s="1">
        <v>5</v>
      </c>
      <c r="H267" s="2">
        <v>808.84</v>
      </c>
      <c r="I267" s="1">
        <v>15</v>
      </c>
      <c r="J267" s="1" t="s">
        <v>26</v>
      </c>
      <c r="K267" s="2">
        <f>SalesData[[#This Row],[Quantity]]*SalesData[[#This Row],[Unit Price]]*(1-SalesData[[#This Row],[Discount (%)]]/100)</f>
        <v>3437.57</v>
      </c>
    </row>
    <row r="268" spans="1:11" x14ac:dyDescent="0.3">
      <c r="A268" s="6">
        <v>46046</v>
      </c>
      <c r="B268" s="1" t="s">
        <v>382</v>
      </c>
      <c r="C268" s="1" t="s">
        <v>49</v>
      </c>
      <c r="D268" s="1" t="s">
        <v>12</v>
      </c>
      <c r="E268" s="1" t="s">
        <v>24</v>
      </c>
      <c r="F268" s="1" t="s">
        <v>25</v>
      </c>
      <c r="G268" s="1">
        <v>1</v>
      </c>
      <c r="H268" s="2">
        <v>498.47</v>
      </c>
      <c r="I268" s="1">
        <v>5</v>
      </c>
      <c r="J268" s="1" t="s">
        <v>76</v>
      </c>
      <c r="K268" s="2">
        <f>SalesData[[#This Row],[Quantity]]*SalesData[[#This Row],[Unit Price]]*(1-SalesData[[#This Row],[Discount (%)]]/100)</f>
        <v>473.54649999999998</v>
      </c>
    </row>
    <row r="269" spans="1:11" x14ac:dyDescent="0.3">
      <c r="A269" s="6">
        <v>46033</v>
      </c>
      <c r="B269" s="1" t="s">
        <v>383</v>
      </c>
      <c r="C269" s="1" t="s">
        <v>17</v>
      </c>
      <c r="D269" s="1" t="s">
        <v>23</v>
      </c>
      <c r="E269" s="1" t="s">
        <v>13</v>
      </c>
      <c r="F269" s="1" t="s">
        <v>61</v>
      </c>
      <c r="G269" s="1">
        <v>6</v>
      </c>
      <c r="H269" s="2">
        <v>931.82</v>
      </c>
      <c r="I269" s="1">
        <v>5</v>
      </c>
      <c r="J269" s="1" t="s">
        <v>15</v>
      </c>
      <c r="K269" s="2">
        <f>SalesData[[#This Row],[Quantity]]*SalesData[[#This Row],[Unit Price]]*(1-SalesData[[#This Row],[Discount (%)]]/100)</f>
        <v>5311.3739999999998</v>
      </c>
    </row>
    <row r="270" spans="1:11" x14ac:dyDescent="0.3">
      <c r="A270" s="6">
        <v>46215</v>
      </c>
      <c r="B270" s="1" t="s">
        <v>384</v>
      </c>
      <c r="C270" s="1" t="s">
        <v>86</v>
      </c>
      <c r="D270" s="1" t="s">
        <v>23</v>
      </c>
      <c r="E270" s="1" t="s">
        <v>50</v>
      </c>
      <c r="F270" s="1" t="s">
        <v>72</v>
      </c>
      <c r="G270" s="1">
        <v>3</v>
      </c>
      <c r="H270" s="2">
        <v>438.17</v>
      </c>
      <c r="I270" s="1">
        <v>0</v>
      </c>
      <c r="J270" s="1" t="s">
        <v>15</v>
      </c>
      <c r="K270" s="2">
        <f>SalesData[[#This Row],[Quantity]]*SalesData[[#This Row],[Unit Price]]*(1-SalesData[[#This Row],[Discount (%)]]/100)</f>
        <v>1314.51</v>
      </c>
    </row>
    <row r="271" spans="1:11" x14ac:dyDescent="0.3">
      <c r="A271" s="6">
        <v>46206</v>
      </c>
      <c r="B271" s="1" t="s">
        <v>385</v>
      </c>
      <c r="C271" s="1" t="s">
        <v>219</v>
      </c>
      <c r="D271" s="1" t="s">
        <v>23</v>
      </c>
      <c r="E271" s="1" t="s">
        <v>29</v>
      </c>
      <c r="F271" s="1" t="s">
        <v>39</v>
      </c>
      <c r="G271" s="1">
        <v>9</v>
      </c>
      <c r="H271" s="2">
        <v>161.24</v>
      </c>
      <c r="I271" s="1">
        <v>10</v>
      </c>
      <c r="J271" s="1" t="s">
        <v>76</v>
      </c>
      <c r="K271" s="2">
        <f>SalesData[[#This Row],[Quantity]]*SalesData[[#This Row],[Unit Price]]*(1-SalesData[[#This Row],[Discount (%)]]/100)</f>
        <v>1306.0440000000001</v>
      </c>
    </row>
    <row r="272" spans="1:11" x14ac:dyDescent="0.3">
      <c r="A272" s="6">
        <v>46092</v>
      </c>
      <c r="B272" s="1" t="s">
        <v>386</v>
      </c>
      <c r="C272" s="1" t="s">
        <v>179</v>
      </c>
      <c r="D272" s="1" t="s">
        <v>23</v>
      </c>
      <c r="E272" s="1" t="s">
        <v>24</v>
      </c>
      <c r="F272" s="1" t="s">
        <v>43</v>
      </c>
      <c r="G272" s="1">
        <v>7</v>
      </c>
      <c r="H272" s="2">
        <v>84.12</v>
      </c>
      <c r="I272" s="1">
        <v>0</v>
      </c>
      <c r="J272" s="1" t="s">
        <v>76</v>
      </c>
      <c r="K272" s="2">
        <f>SalesData[[#This Row],[Quantity]]*SalesData[[#This Row],[Unit Price]]*(1-SalesData[[#This Row],[Discount (%)]]/100)</f>
        <v>588.84</v>
      </c>
    </row>
    <row r="273" spans="1:11" x14ac:dyDescent="0.3">
      <c r="A273" s="6">
        <v>46174</v>
      </c>
      <c r="B273" s="1" t="s">
        <v>387</v>
      </c>
      <c r="C273" s="1" t="s">
        <v>219</v>
      </c>
      <c r="D273" s="1" t="s">
        <v>12</v>
      </c>
      <c r="E273" s="1" t="s">
        <v>13</v>
      </c>
      <c r="F273" s="1" t="s">
        <v>14</v>
      </c>
      <c r="G273" s="1">
        <v>10</v>
      </c>
      <c r="H273" s="2">
        <v>201.65</v>
      </c>
      <c r="I273" s="1">
        <v>0</v>
      </c>
      <c r="J273" s="1" t="s">
        <v>83</v>
      </c>
      <c r="K273" s="2">
        <f>SalesData[[#This Row],[Quantity]]*SalesData[[#This Row],[Unit Price]]*(1-SalesData[[#This Row],[Discount (%)]]/100)</f>
        <v>2016.5</v>
      </c>
    </row>
    <row r="274" spans="1:11" x14ac:dyDescent="0.3">
      <c r="A274" s="6">
        <v>46210</v>
      </c>
      <c r="B274" s="1" t="s">
        <v>388</v>
      </c>
      <c r="C274" s="1" t="s">
        <v>135</v>
      </c>
      <c r="D274" s="1" t="s">
        <v>35</v>
      </c>
      <c r="E274" s="1" t="s">
        <v>29</v>
      </c>
      <c r="F274" s="1" t="s">
        <v>30</v>
      </c>
      <c r="G274" s="1">
        <v>5</v>
      </c>
      <c r="H274" s="2">
        <v>291.52999999999997</v>
      </c>
      <c r="I274" s="1">
        <v>15</v>
      </c>
      <c r="J274" s="1" t="s">
        <v>26</v>
      </c>
      <c r="K274" s="2">
        <f>SalesData[[#This Row],[Quantity]]*SalesData[[#This Row],[Unit Price]]*(1-SalesData[[#This Row],[Discount (%)]]/100)</f>
        <v>1239.0024999999998</v>
      </c>
    </row>
    <row r="275" spans="1:11" x14ac:dyDescent="0.3">
      <c r="A275" s="6">
        <v>46096</v>
      </c>
      <c r="B275" s="1" t="s">
        <v>389</v>
      </c>
      <c r="C275" s="1" t="s">
        <v>173</v>
      </c>
      <c r="D275" s="1" t="s">
        <v>35</v>
      </c>
      <c r="E275" s="1" t="s">
        <v>13</v>
      </c>
      <c r="F275" s="1" t="s">
        <v>14</v>
      </c>
      <c r="G275" s="1">
        <v>1</v>
      </c>
      <c r="H275" s="2">
        <v>816.42</v>
      </c>
      <c r="I275" s="1">
        <v>5</v>
      </c>
      <c r="J275" s="1" t="s">
        <v>26</v>
      </c>
      <c r="K275" s="2">
        <f>SalesData[[#This Row],[Quantity]]*SalesData[[#This Row],[Unit Price]]*(1-SalesData[[#This Row],[Discount (%)]]/100)</f>
        <v>775.59899999999993</v>
      </c>
    </row>
    <row r="276" spans="1:11" x14ac:dyDescent="0.3">
      <c r="A276" s="6">
        <v>46149</v>
      </c>
      <c r="B276" s="1" t="s">
        <v>390</v>
      </c>
      <c r="C276" s="1" t="s">
        <v>86</v>
      </c>
      <c r="D276" s="1" t="s">
        <v>12</v>
      </c>
      <c r="E276" s="1" t="s">
        <v>24</v>
      </c>
      <c r="F276" s="1" t="s">
        <v>36</v>
      </c>
      <c r="G276" s="1">
        <v>3</v>
      </c>
      <c r="H276" s="2">
        <v>288.08999999999997</v>
      </c>
      <c r="I276" s="1">
        <v>0</v>
      </c>
      <c r="J276" s="1" t="s">
        <v>15</v>
      </c>
      <c r="K276" s="2">
        <f>SalesData[[#This Row],[Quantity]]*SalesData[[#This Row],[Unit Price]]*(1-SalesData[[#This Row],[Discount (%)]]/100)</f>
        <v>864.27</v>
      </c>
    </row>
    <row r="277" spans="1:11" x14ac:dyDescent="0.3">
      <c r="A277" s="6">
        <v>46057</v>
      </c>
      <c r="B277" s="1" t="s">
        <v>391</v>
      </c>
      <c r="C277" s="1" t="s">
        <v>22</v>
      </c>
      <c r="D277" s="1" t="s">
        <v>12</v>
      </c>
      <c r="E277" s="1" t="s">
        <v>13</v>
      </c>
      <c r="F277" s="1" t="s">
        <v>14</v>
      </c>
      <c r="G277" s="1">
        <v>7</v>
      </c>
      <c r="H277" s="2">
        <v>369.72</v>
      </c>
      <c r="I277" s="1">
        <v>5</v>
      </c>
      <c r="J277" s="1" t="s">
        <v>15</v>
      </c>
      <c r="K277" s="2">
        <f>SalesData[[#This Row],[Quantity]]*SalesData[[#This Row],[Unit Price]]*(1-SalesData[[#This Row],[Discount (%)]]/100)</f>
        <v>2458.6379999999999</v>
      </c>
    </row>
    <row r="278" spans="1:11" x14ac:dyDescent="0.3">
      <c r="A278" s="6">
        <v>46120</v>
      </c>
      <c r="B278" s="1" t="s">
        <v>392</v>
      </c>
      <c r="C278" s="1" t="s">
        <v>96</v>
      </c>
      <c r="D278" s="1" t="s">
        <v>18</v>
      </c>
      <c r="E278" s="1" t="s">
        <v>29</v>
      </c>
      <c r="F278" s="1" t="s">
        <v>30</v>
      </c>
      <c r="G278" s="1">
        <v>2</v>
      </c>
      <c r="H278" s="2">
        <v>1006.04</v>
      </c>
      <c r="I278" s="1">
        <v>10</v>
      </c>
      <c r="J278" s="1" t="s">
        <v>26</v>
      </c>
      <c r="K278" s="2">
        <f>SalesData[[#This Row],[Quantity]]*SalesData[[#This Row],[Unit Price]]*(1-SalesData[[#This Row],[Discount (%)]]/100)</f>
        <v>1810.8720000000001</v>
      </c>
    </row>
    <row r="279" spans="1:11" x14ac:dyDescent="0.3">
      <c r="A279" s="6">
        <v>46090</v>
      </c>
      <c r="B279" s="1" t="s">
        <v>393</v>
      </c>
      <c r="C279" s="1" t="s">
        <v>359</v>
      </c>
      <c r="D279" s="1" t="s">
        <v>23</v>
      </c>
      <c r="E279" s="1" t="s">
        <v>24</v>
      </c>
      <c r="F279" s="1" t="s">
        <v>43</v>
      </c>
      <c r="G279" s="1">
        <v>7</v>
      </c>
      <c r="H279" s="2">
        <v>626.6</v>
      </c>
      <c r="I279" s="1">
        <v>0</v>
      </c>
      <c r="J279" s="1" t="s">
        <v>15</v>
      </c>
      <c r="K279" s="2">
        <f>SalesData[[#This Row],[Quantity]]*SalesData[[#This Row],[Unit Price]]*(1-SalesData[[#This Row],[Discount (%)]]/100)</f>
        <v>4386.2</v>
      </c>
    </row>
    <row r="280" spans="1:11" x14ac:dyDescent="0.3">
      <c r="A280" s="6">
        <v>46104</v>
      </c>
      <c r="B280" s="1" t="s">
        <v>394</v>
      </c>
      <c r="C280" s="1" t="s">
        <v>22</v>
      </c>
      <c r="D280" s="1" t="s">
        <v>23</v>
      </c>
      <c r="E280" s="1" t="s">
        <v>24</v>
      </c>
      <c r="F280" s="1" t="s">
        <v>36</v>
      </c>
      <c r="G280" s="1">
        <v>5</v>
      </c>
      <c r="H280" s="2">
        <v>12.82</v>
      </c>
      <c r="I280" s="1">
        <v>0</v>
      </c>
      <c r="J280" s="1" t="s">
        <v>20</v>
      </c>
      <c r="K280" s="2">
        <f>SalesData[[#This Row],[Quantity]]*SalesData[[#This Row],[Unit Price]]*(1-SalesData[[#This Row],[Discount (%)]]/100)</f>
        <v>64.099999999999994</v>
      </c>
    </row>
    <row r="281" spans="1:11" x14ac:dyDescent="0.3">
      <c r="A281" s="6">
        <v>46194</v>
      </c>
      <c r="B281" s="1" t="s">
        <v>395</v>
      </c>
      <c r="C281" s="1" t="s">
        <v>278</v>
      </c>
      <c r="D281" s="1" t="s">
        <v>23</v>
      </c>
      <c r="E281" s="1" t="s">
        <v>24</v>
      </c>
      <c r="F281" s="1" t="s">
        <v>25</v>
      </c>
      <c r="G281" s="1">
        <v>4</v>
      </c>
      <c r="H281" s="2">
        <v>535.25</v>
      </c>
      <c r="I281" s="1">
        <v>10</v>
      </c>
      <c r="J281" s="1" t="s">
        <v>26</v>
      </c>
      <c r="K281" s="2">
        <f>SalesData[[#This Row],[Quantity]]*SalesData[[#This Row],[Unit Price]]*(1-SalesData[[#This Row],[Discount (%)]]/100)</f>
        <v>1926.9</v>
      </c>
    </row>
    <row r="282" spans="1:11" x14ac:dyDescent="0.3">
      <c r="A282" s="6">
        <v>46160</v>
      </c>
      <c r="B282" s="1" t="s">
        <v>396</v>
      </c>
      <c r="C282" s="1" t="s">
        <v>177</v>
      </c>
      <c r="D282" s="1" t="s">
        <v>23</v>
      </c>
      <c r="E282" s="1" t="s">
        <v>29</v>
      </c>
      <c r="F282" s="1" t="s">
        <v>30</v>
      </c>
      <c r="G282" s="1">
        <v>5</v>
      </c>
      <c r="H282" s="2">
        <v>868.81</v>
      </c>
      <c r="I282" s="1">
        <v>0</v>
      </c>
      <c r="J282" s="1" t="s">
        <v>76</v>
      </c>
      <c r="K282" s="2">
        <f>SalesData[[#This Row],[Quantity]]*SalesData[[#This Row],[Unit Price]]*(1-SalesData[[#This Row],[Discount (%)]]/100)</f>
        <v>4344.0499999999993</v>
      </c>
    </row>
    <row r="283" spans="1:11" x14ac:dyDescent="0.3">
      <c r="A283" s="6">
        <v>46165</v>
      </c>
      <c r="B283" s="1" t="s">
        <v>397</v>
      </c>
      <c r="C283" s="1" t="s">
        <v>147</v>
      </c>
      <c r="D283" s="1" t="s">
        <v>35</v>
      </c>
      <c r="E283" s="1" t="s">
        <v>50</v>
      </c>
      <c r="F283" s="1" t="s">
        <v>63</v>
      </c>
      <c r="G283" s="1">
        <v>3</v>
      </c>
      <c r="H283" s="2">
        <v>342.28</v>
      </c>
      <c r="I283" s="1">
        <v>0</v>
      </c>
      <c r="J283" s="1" t="s">
        <v>83</v>
      </c>
      <c r="K283" s="2">
        <f>SalesData[[#This Row],[Quantity]]*SalesData[[#This Row],[Unit Price]]*(1-SalesData[[#This Row],[Discount (%)]]/100)</f>
        <v>1026.8399999999999</v>
      </c>
    </row>
    <row r="284" spans="1:11" x14ac:dyDescent="0.3">
      <c r="A284" s="6">
        <v>46187</v>
      </c>
      <c r="B284" s="1" t="s">
        <v>398</v>
      </c>
      <c r="C284" s="1" t="s">
        <v>149</v>
      </c>
      <c r="D284" s="1" t="s">
        <v>23</v>
      </c>
      <c r="E284" s="1" t="s">
        <v>29</v>
      </c>
      <c r="F284" s="1" t="s">
        <v>30</v>
      </c>
      <c r="G284" s="1">
        <v>8</v>
      </c>
      <c r="H284" s="2">
        <v>1126.96</v>
      </c>
      <c r="I284" s="1">
        <v>10</v>
      </c>
      <c r="J284" s="1" t="s">
        <v>83</v>
      </c>
      <c r="K284" s="2">
        <f>SalesData[[#This Row],[Quantity]]*SalesData[[#This Row],[Unit Price]]*(1-SalesData[[#This Row],[Discount (%)]]/100)</f>
        <v>8114.1120000000001</v>
      </c>
    </row>
    <row r="285" spans="1:11" x14ac:dyDescent="0.3">
      <c r="A285" s="6">
        <v>46208</v>
      </c>
      <c r="B285" s="1" t="s">
        <v>399</v>
      </c>
      <c r="C285" s="1" t="s">
        <v>141</v>
      </c>
      <c r="D285" s="1" t="s">
        <v>18</v>
      </c>
      <c r="E285" s="1" t="s">
        <v>29</v>
      </c>
      <c r="F285" s="1" t="s">
        <v>65</v>
      </c>
      <c r="G285" s="1">
        <v>2</v>
      </c>
      <c r="H285" s="2">
        <v>1014.36</v>
      </c>
      <c r="I285" s="1">
        <v>0</v>
      </c>
      <c r="J285" s="1" t="s">
        <v>83</v>
      </c>
      <c r="K285" s="2">
        <f>SalesData[[#This Row],[Quantity]]*SalesData[[#This Row],[Unit Price]]*(1-SalesData[[#This Row],[Discount (%)]]/100)</f>
        <v>2028.72</v>
      </c>
    </row>
    <row r="286" spans="1:11" x14ac:dyDescent="0.3">
      <c r="A286" s="6">
        <v>46079</v>
      </c>
      <c r="B286" s="1" t="s">
        <v>400</v>
      </c>
      <c r="C286" s="1" t="s">
        <v>57</v>
      </c>
      <c r="D286" s="1" t="s">
        <v>23</v>
      </c>
      <c r="E286" s="1" t="s">
        <v>13</v>
      </c>
      <c r="F286" s="1" t="s">
        <v>61</v>
      </c>
      <c r="G286" s="1">
        <v>8</v>
      </c>
      <c r="H286" s="2">
        <v>148.46</v>
      </c>
      <c r="I286" s="1">
        <v>15</v>
      </c>
      <c r="J286" s="1" t="s">
        <v>15</v>
      </c>
      <c r="K286" s="2">
        <f>SalesData[[#This Row],[Quantity]]*SalesData[[#This Row],[Unit Price]]*(1-SalesData[[#This Row],[Discount (%)]]/100)</f>
        <v>1009.528</v>
      </c>
    </row>
    <row r="287" spans="1:11" x14ac:dyDescent="0.3">
      <c r="A287" s="6">
        <v>46163</v>
      </c>
      <c r="B287" s="1" t="s">
        <v>401</v>
      </c>
      <c r="C287" s="1" t="s">
        <v>284</v>
      </c>
      <c r="D287" s="1" t="s">
        <v>23</v>
      </c>
      <c r="E287" s="1" t="s">
        <v>50</v>
      </c>
      <c r="F287" s="1" t="s">
        <v>58</v>
      </c>
      <c r="G287" s="1">
        <v>1</v>
      </c>
      <c r="H287" s="2">
        <v>500.98</v>
      </c>
      <c r="I287" s="1">
        <v>15</v>
      </c>
      <c r="J287" s="1" t="s">
        <v>76</v>
      </c>
      <c r="K287" s="2">
        <f>SalesData[[#This Row],[Quantity]]*SalesData[[#This Row],[Unit Price]]*(1-SalesData[[#This Row],[Discount (%)]]/100)</f>
        <v>425.83300000000003</v>
      </c>
    </row>
    <row r="288" spans="1:11" x14ac:dyDescent="0.3">
      <c r="A288" s="6">
        <v>46048</v>
      </c>
      <c r="B288" s="1" t="s">
        <v>402</v>
      </c>
      <c r="C288" s="1" t="s">
        <v>295</v>
      </c>
      <c r="D288" s="1" t="s">
        <v>12</v>
      </c>
      <c r="E288" s="1" t="s">
        <v>29</v>
      </c>
      <c r="F288" s="1" t="s">
        <v>30</v>
      </c>
      <c r="G288" s="1">
        <v>4</v>
      </c>
      <c r="H288" s="2">
        <v>1057.52</v>
      </c>
      <c r="I288" s="1">
        <v>5</v>
      </c>
      <c r="J288" s="1" t="s">
        <v>20</v>
      </c>
      <c r="K288" s="2">
        <f>SalesData[[#This Row],[Quantity]]*SalesData[[#This Row],[Unit Price]]*(1-SalesData[[#This Row],[Discount (%)]]/100)</f>
        <v>4018.5759999999996</v>
      </c>
    </row>
    <row r="289" spans="1:11" x14ac:dyDescent="0.3">
      <c r="A289" s="6">
        <v>46175</v>
      </c>
      <c r="B289" s="1" t="s">
        <v>403</v>
      </c>
      <c r="C289" s="1" t="s">
        <v>260</v>
      </c>
      <c r="D289" s="1" t="s">
        <v>35</v>
      </c>
      <c r="E289" s="1" t="s">
        <v>24</v>
      </c>
      <c r="F289" s="1" t="s">
        <v>36</v>
      </c>
      <c r="G289" s="1">
        <v>2</v>
      </c>
      <c r="H289" s="2">
        <v>889.37</v>
      </c>
      <c r="I289" s="1">
        <v>0</v>
      </c>
      <c r="J289" s="1" t="s">
        <v>26</v>
      </c>
      <c r="K289" s="2">
        <f>SalesData[[#This Row],[Quantity]]*SalesData[[#This Row],[Unit Price]]*(1-SalesData[[#This Row],[Discount (%)]]/100)</f>
        <v>1778.74</v>
      </c>
    </row>
    <row r="290" spans="1:11" x14ac:dyDescent="0.3">
      <c r="A290" s="6">
        <v>46201</v>
      </c>
      <c r="B290" s="1" t="s">
        <v>404</v>
      </c>
      <c r="C290" s="1" t="s">
        <v>160</v>
      </c>
      <c r="D290" s="1" t="s">
        <v>18</v>
      </c>
      <c r="E290" s="1" t="s">
        <v>50</v>
      </c>
      <c r="F290" s="1" t="s">
        <v>63</v>
      </c>
      <c r="G290" s="1">
        <v>4</v>
      </c>
      <c r="H290" s="2">
        <v>984.2</v>
      </c>
      <c r="I290" s="1">
        <v>0</v>
      </c>
      <c r="J290" s="1" t="s">
        <v>40</v>
      </c>
      <c r="K290" s="2">
        <f>SalesData[[#This Row],[Quantity]]*SalesData[[#This Row],[Unit Price]]*(1-SalesData[[#This Row],[Discount (%)]]/100)</f>
        <v>3936.8</v>
      </c>
    </row>
    <row r="291" spans="1:11" x14ac:dyDescent="0.3">
      <c r="A291" s="6">
        <v>46051</v>
      </c>
      <c r="B291" s="1" t="s">
        <v>405</v>
      </c>
      <c r="C291" s="1" t="s">
        <v>71</v>
      </c>
      <c r="D291" s="1" t="s">
        <v>35</v>
      </c>
      <c r="E291" s="1" t="s">
        <v>13</v>
      </c>
      <c r="F291" s="1" t="s">
        <v>61</v>
      </c>
      <c r="G291" s="1">
        <v>4</v>
      </c>
      <c r="H291" s="2">
        <v>462.54</v>
      </c>
      <c r="I291" s="1">
        <v>0</v>
      </c>
      <c r="J291" s="1" t="s">
        <v>76</v>
      </c>
      <c r="K291" s="2">
        <f>SalesData[[#This Row],[Quantity]]*SalesData[[#This Row],[Unit Price]]*(1-SalesData[[#This Row],[Discount (%)]]/100)</f>
        <v>1850.16</v>
      </c>
    </row>
    <row r="292" spans="1:11" x14ac:dyDescent="0.3">
      <c r="A292" s="6">
        <v>46205</v>
      </c>
      <c r="B292" s="1" t="s">
        <v>406</v>
      </c>
      <c r="C292" s="1" t="s">
        <v>242</v>
      </c>
      <c r="D292" s="1" t="s">
        <v>12</v>
      </c>
      <c r="E292" s="1" t="s">
        <v>24</v>
      </c>
      <c r="F292" s="1" t="s">
        <v>36</v>
      </c>
      <c r="G292" s="1">
        <v>3</v>
      </c>
      <c r="H292" s="2">
        <v>1080.1500000000001</v>
      </c>
      <c r="I292" s="1">
        <v>0</v>
      </c>
      <c r="J292" s="1" t="s">
        <v>76</v>
      </c>
      <c r="K292" s="2">
        <f>SalesData[[#This Row],[Quantity]]*SalesData[[#This Row],[Unit Price]]*(1-SalesData[[#This Row],[Discount (%)]]/100)</f>
        <v>3240.4500000000003</v>
      </c>
    </row>
    <row r="293" spans="1:11" x14ac:dyDescent="0.3">
      <c r="A293" s="6">
        <v>46225</v>
      </c>
      <c r="B293" s="1" t="s">
        <v>407</v>
      </c>
      <c r="C293" s="1" t="s">
        <v>175</v>
      </c>
      <c r="D293" s="1" t="s">
        <v>12</v>
      </c>
      <c r="E293" s="1" t="s">
        <v>13</v>
      </c>
      <c r="F293" s="1" t="s">
        <v>61</v>
      </c>
      <c r="G293" s="1">
        <v>2</v>
      </c>
      <c r="H293" s="2">
        <v>237.73</v>
      </c>
      <c r="I293" s="1">
        <v>5</v>
      </c>
      <c r="J293" s="1" t="s">
        <v>83</v>
      </c>
      <c r="K293" s="2">
        <f>SalesData[[#This Row],[Quantity]]*SalesData[[#This Row],[Unit Price]]*(1-SalesData[[#This Row],[Discount (%)]]/100)</f>
        <v>451.68699999999995</v>
      </c>
    </row>
    <row r="294" spans="1:11" x14ac:dyDescent="0.3">
      <c r="A294" s="6">
        <v>46088</v>
      </c>
      <c r="B294" s="1" t="s">
        <v>408</v>
      </c>
      <c r="C294" s="1" t="s">
        <v>214</v>
      </c>
      <c r="D294" s="1" t="s">
        <v>35</v>
      </c>
      <c r="E294" s="1" t="s">
        <v>29</v>
      </c>
      <c r="F294" s="1" t="s">
        <v>65</v>
      </c>
      <c r="G294" s="1">
        <v>3</v>
      </c>
      <c r="H294" s="2">
        <v>1199.42</v>
      </c>
      <c r="I294" s="1">
        <v>10</v>
      </c>
      <c r="J294" s="1" t="s">
        <v>20</v>
      </c>
      <c r="K294" s="2">
        <f>SalesData[[#This Row],[Quantity]]*SalesData[[#This Row],[Unit Price]]*(1-SalesData[[#This Row],[Discount (%)]]/100)</f>
        <v>3238.4340000000002</v>
      </c>
    </row>
    <row r="295" spans="1:11" x14ac:dyDescent="0.3">
      <c r="A295" s="6">
        <v>46192</v>
      </c>
      <c r="B295" s="1" t="s">
        <v>409</v>
      </c>
      <c r="C295" s="1" t="s">
        <v>106</v>
      </c>
      <c r="D295" s="1" t="s">
        <v>18</v>
      </c>
      <c r="E295" s="1" t="s">
        <v>50</v>
      </c>
      <c r="F295" s="1" t="s">
        <v>72</v>
      </c>
      <c r="G295" s="1">
        <v>6</v>
      </c>
      <c r="H295" s="2">
        <v>681.46</v>
      </c>
      <c r="I295" s="1">
        <v>0</v>
      </c>
      <c r="J295" s="1" t="s">
        <v>15</v>
      </c>
      <c r="K295" s="2">
        <f>SalesData[[#This Row],[Quantity]]*SalesData[[#This Row],[Unit Price]]*(1-SalesData[[#This Row],[Discount (%)]]/100)</f>
        <v>4088.76</v>
      </c>
    </row>
    <row r="296" spans="1:11" x14ac:dyDescent="0.3">
      <c r="A296" s="6">
        <v>46047</v>
      </c>
      <c r="B296" s="1" t="s">
        <v>410</v>
      </c>
      <c r="C296" s="1" t="s">
        <v>232</v>
      </c>
      <c r="D296" s="1" t="s">
        <v>12</v>
      </c>
      <c r="E296" s="1" t="s">
        <v>50</v>
      </c>
      <c r="F296" s="1" t="s">
        <v>72</v>
      </c>
      <c r="G296" s="1">
        <v>6</v>
      </c>
      <c r="H296" s="2">
        <v>614.08000000000004</v>
      </c>
      <c r="I296" s="1">
        <v>15</v>
      </c>
      <c r="J296" s="1" t="s">
        <v>76</v>
      </c>
      <c r="K296" s="2">
        <f>SalesData[[#This Row],[Quantity]]*SalesData[[#This Row],[Unit Price]]*(1-SalesData[[#This Row],[Discount (%)]]/100)</f>
        <v>3131.8080000000004</v>
      </c>
    </row>
    <row r="297" spans="1:11" x14ac:dyDescent="0.3">
      <c r="A297" s="6">
        <v>46224</v>
      </c>
      <c r="B297" s="1" t="s">
        <v>411</v>
      </c>
      <c r="C297" s="1" t="s">
        <v>300</v>
      </c>
      <c r="D297" s="1" t="s">
        <v>35</v>
      </c>
      <c r="E297" s="1" t="s">
        <v>50</v>
      </c>
      <c r="F297" s="1" t="s">
        <v>51</v>
      </c>
      <c r="G297" s="1">
        <v>1</v>
      </c>
      <c r="H297" s="2">
        <v>797.54</v>
      </c>
      <c r="I297" s="1">
        <v>15</v>
      </c>
      <c r="J297" s="1" t="s">
        <v>26</v>
      </c>
      <c r="K297" s="2">
        <f>SalesData[[#This Row],[Quantity]]*SalesData[[#This Row],[Unit Price]]*(1-SalesData[[#This Row],[Discount (%)]]/100)</f>
        <v>677.90899999999999</v>
      </c>
    </row>
    <row r="298" spans="1:11" x14ac:dyDescent="0.3">
      <c r="A298" s="6">
        <v>46221</v>
      </c>
      <c r="B298" s="1" t="s">
        <v>412</v>
      </c>
      <c r="C298" s="1" t="s">
        <v>413</v>
      </c>
      <c r="D298" s="1" t="s">
        <v>23</v>
      </c>
      <c r="E298" s="1" t="s">
        <v>24</v>
      </c>
      <c r="F298" s="1" t="s">
        <v>36</v>
      </c>
      <c r="G298" s="1">
        <v>9</v>
      </c>
      <c r="H298" s="2">
        <v>457.15</v>
      </c>
      <c r="I298" s="1">
        <v>0</v>
      </c>
      <c r="J298" s="1" t="s">
        <v>40</v>
      </c>
      <c r="K298" s="2">
        <f>SalesData[[#This Row],[Quantity]]*SalesData[[#This Row],[Unit Price]]*(1-SalesData[[#This Row],[Discount (%)]]/100)</f>
        <v>4114.3499999999995</v>
      </c>
    </row>
    <row r="299" spans="1:11" x14ac:dyDescent="0.3">
      <c r="A299" s="6">
        <v>46108</v>
      </c>
      <c r="B299" s="1" t="s">
        <v>414</v>
      </c>
      <c r="C299" s="1" t="s">
        <v>114</v>
      </c>
      <c r="D299" s="1" t="s">
        <v>18</v>
      </c>
      <c r="E299" s="1" t="s">
        <v>29</v>
      </c>
      <c r="F299" s="1" t="s">
        <v>30</v>
      </c>
      <c r="G299" s="1">
        <v>3</v>
      </c>
      <c r="H299" s="2">
        <v>321.02</v>
      </c>
      <c r="I299" s="1">
        <v>15</v>
      </c>
      <c r="J299" s="1" t="s">
        <v>83</v>
      </c>
      <c r="K299" s="2">
        <f>SalesData[[#This Row],[Quantity]]*SalesData[[#This Row],[Unit Price]]*(1-SalesData[[#This Row],[Discount (%)]]/100)</f>
        <v>818.60099999999989</v>
      </c>
    </row>
    <row r="300" spans="1:11" x14ac:dyDescent="0.3">
      <c r="A300" s="6">
        <v>46171</v>
      </c>
      <c r="B300" s="1" t="s">
        <v>415</v>
      </c>
      <c r="C300" s="1" t="s">
        <v>28</v>
      </c>
      <c r="D300" s="1" t="s">
        <v>12</v>
      </c>
      <c r="E300" s="1" t="s">
        <v>13</v>
      </c>
      <c r="F300" s="1" t="s">
        <v>19</v>
      </c>
      <c r="G300" s="1">
        <v>6</v>
      </c>
      <c r="H300" s="2">
        <v>435.39</v>
      </c>
      <c r="I300" s="1">
        <v>5</v>
      </c>
      <c r="J300" s="1" t="s">
        <v>26</v>
      </c>
      <c r="K300" s="2">
        <f>SalesData[[#This Row],[Quantity]]*SalesData[[#This Row],[Unit Price]]*(1-SalesData[[#This Row],[Discount (%)]]/100)</f>
        <v>2481.723</v>
      </c>
    </row>
    <row r="301" spans="1:11" x14ac:dyDescent="0.3">
      <c r="A301" s="6">
        <v>46207</v>
      </c>
      <c r="B301" s="1" t="s">
        <v>416</v>
      </c>
      <c r="C301" s="1" t="s">
        <v>60</v>
      </c>
      <c r="D301" s="1" t="s">
        <v>12</v>
      </c>
      <c r="E301" s="1" t="s">
        <v>24</v>
      </c>
      <c r="F301" s="1" t="s">
        <v>36</v>
      </c>
      <c r="G301" s="1">
        <v>6</v>
      </c>
      <c r="H301" s="2">
        <v>409.85</v>
      </c>
      <c r="I301" s="1">
        <v>0</v>
      </c>
      <c r="J301" s="1" t="s">
        <v>40</v>
      </c>
      <c r="K301" s="2">
        <f>SalesData[[#This Row],[Quantity]]*SalesData[[#This Row],[Unit Price]]*(1-SalesData[[#This Row],[Discount (%)]]/100)</f>
        <v>2459.1000000000004</v>
      </c>
    </row>
    <row r="302" spans="1:11" x14ac:dyDescent="0.3">
      <c r="A302" s="6">
        <v>46182</v>
      </c>
      <c r="B302" s="1" t="s">
        <v>417</v>
      </c>
      <c r="C302" s="1" t="s">
        <v>337</v>
      </c>
      <c r="D302" s="1" t="s">
        <v>12</v>
      </c>
      <c r="E302" s="1" t="s">
        <v>29</v>
      </c>
      <c r="F302" s="1" t="s">
        <v>39</v>
      </c>
      <c r="G302" s="1">
        <v>8</v>
      </c>
      <c r="H302" s="2">
        <v>1177.18</v>
      </c>
      <c r="I302" s="1">
        <v>0</v>
      </c>
      <c r="J302" s="1" t="s">
        <v>15</v>
      </c>
      <c r="K302" s="2">
        <f>SalesData[[#This Row],[Quantity]]*SalesData[[#This Row],[Unit Price]]*(1-SalesData[[#This Row],[Discount (%)]]/100)</f>
        <v>9417.44</v>
      </c>
    </row>
    <row r="303" spans="1:11" x14ac:dyDescent="0.3">
      <c r="A303" s="6">
        <v>46112</v>
      </c>
      <c r="B303" s="1" t="s">
        <v>418</v>
      </c>
      <c r="C303" s="1" t="s">
        <v>359</v>
      </c>
      <c r="D303" s="1" t="s">
        <v>23</v>
      </c>
      <c r="E303" s="1" t="s">
        <v>50</v>
      </c>
      <c r="F303" s="1" t="s">
        <v>63</v>
      </c>
      <c r="G303" s="1">
        <v>2</v>
      </c>
      <c r="H303" s="2">
        <v>685.19</v>
      </c>
      <c r="I303" s="1">
        <v>0</v>
      </c>
      <c r="J303" s="1" t="s">
        <v>26</v>
      </c>
      <c r="K303" s="2">
        <f>SalesData[[#This Row],[Quantity]]*SalesData[[#This Row],[Unit Price]]*(1-SalesData[[#This Row],[Discount (%)]]/100)</f>
        <v>1370.38</v>
      </c>
    </row>
    <row r="304" spans="1:11" x14ac:dyDescent="0.3">
      <c r="A304" s="6">
        <v>46217</v>
      </c>
      <c r="B304" s="1" t="s">
        <v>419</v>
      </c>
      <c r="C304" s="1" t="s">
        <v>278</v>
      </c>
      <c r="D304" s="1" t="s">
        <v>12</v>
      </c>
      <c r="E304" s="1" t="s">
        <v>50</v>
      </c>
      <c r="F304" s="1" t="s">
        <v>51</v>
      </c>
      <c r="G304" s="1">
        <v>10</v>
      </c>
      <c r="H304" s="2">
        <v>345.55</v>
      </c>
      <c r="I304" s="1">
        <v>10</v>
      </c>
      <c r="J304" s="1" t="s">
        <v>15</v>
      </c>
      <c r="K304" s="2">
        <f>SalesData[[#This Row],[Quantity]]*SalesData[[#This Row],[Unit Price]]*(1-SalesData[[#This Row],[Discount (%)]]/100)</f>
        <v>3109.9500000000003</v>
      </c>
    </row>
    <row r="305" spans="1:11" x14ac:dyDescent="0.3">
      <c r="A305" s="6">
        <v>46167</v>
      </c>
      <c r="B305" s="1" t="s">
        <v>420</v>
      </c>
      <c r="C305" s="1" t="s">
        <v>166</v>
      </c>
      <c r="D305" s="1" t="s">
        <v>23</v>
      </c>
      <c r="E305" s="1" t="s">
        <v>13</v>
      </c>
      <c r="F305" s="1" t="s">
        <v>14</v>
      </c>
      <c r="G305" s="1">
        <v>9</v>
      </c>
      <c r="H305" s="2">
        <v>654.29</v>
      </c>
      <c r="I305" s="1">
        <v>5</v>
      </c>
      <c r="J305" s="1" t="s">
        <v>20</v>
      </c>
      <c r="K305" s="2">
        <f>SalesData[[#This Row],[Quantity]]*SalesData[[#This Row],[Unit Price]]*(1-SalesData[[#This Row],[Discount (%)]]/100)</f>
        <v>5594.1794999999993</v>
      </c>
    </row>
    <row r="306" spans="1:11" x14ac:dyDescent="0.3">
      <c r="A306" s="6">
        <v>46142</v>
      </c>
      <c r="B306" s="1" t="s">
        <v>421</v>
      </c>
      <c r="C306" s="1" t="s">
        <v>131</v>
      </c>
      <c r="D306" s="1" t="s">
        <v>18</v>
      </c>
      <c r="E306" s="1" t="s">
        <v>50</v>
      </c>
      <c r="F306" s="1" t="s">
        <v>63</v>
      </c>
      <c r="G306" s="1">
        <v>2</v>
      </c>
      <c r="H306" s="2">
        <v>569.27</v>
      </c>
      <c r="I306" s="1">
        <v>15</v>
      </c>
      <c r="J306" s="1" t="s">
        <v>26</v>
      </c>
      <c r="K306" s="2">
        <f>SalesData[[#This Row],[Quantity]]*SalesData[[#This Row],[Unit Price]]*(1-SalesData[[#This Row],[Discount (%)]]/100)</f>
        <v>967.7589999999999</v>
      </c>
    </row>
    <row r="307" spans="1:11" x14ac:dyDescent="0.3">
      <c r="A307" s="6">
        <v>46147</v>
      </c>
      <c r="B307" s="1" t="s">
        <v>422</v>
      </c>
      <c r="C307" s="1" t="s">
        <v>57</v>
      </c>
      <c r="D307" s="1" t="s">
        <v>35</v>
      </c>
      <c r="E307" s="1" t="s">
        <v>29</v>
      </c>
      <c r="F307" s="1" t="s">
        <v>39</v>
      </c>
      <c r="G307" s="1">
        <v>4</v>
      </c>
      <c r="H307" s="2">
        <v>741.89</v>
      </c>
      <c r="I307" s="1">
        <v>5</v>
      </c>
      <c r="J307" s="1" t="s">
        <v>83</v>
      </c>
      <c r="K307" s="2">
        <f>SalesData[[#This Row],[Quantity]]*SalesData[[#This Row],[Unit Price]]*(1-SalesData[[#This Row],[Discount (%)]]/100)</f>
        <v>2819.1819999999998</v>
      </c>
    </row>
    <row r="308" spans="1:11" x14ac:dyDescent="0.3">
      <c r="A308" s="6">
        <v>46169</v>
      </c>
      <c r="B308" s="1" t="s">
        <v>423</v>
      </c>
      <c r="C308" s="1" t="s">
        <v>93</v>
      </c>
      <c r="D308" s="1" t="s">
        <v>23</v>
      </c>
      <c r="E308" s="1" t="s">
        <v>24</v>
      </c>
      <c r="F308" s="1" t="s">
        <v>25</v>
      </c>
      <c r="G308" s="1">
        <v>10</v>
      </c>
      <c r="H308" s="2">
        <v>136.41999999999999</v>
      </c>
      <c r="I308" s="1">
        <v>10</v>
      </c>
      <c r="J308" s="1" t="s">
        <v>15</v>
      </c>
      <c r="K308" s="2">
        <f>SalesData[[#This Row],[Quantity]]*SalesData[[#This Row],[Unit Price]]*(1-SalesData[[#This Row],[Discount (%)]]/100)</f>
        <v>1227.78</v>
      </c>
    </row>
    <row r="309" spans="1:11" x14ac:dyDescent="0.3">
      <c r="A309" s="6">
        <v>46050</v>
      </c>
      <c r="B309" s="1" t="s">
        <v>424</v>
      </c>
      <c r="C309" s="1" t="s">
        <v>337</v>
      </c>
      <c r="D309" s="1" t="s">
        <v>12</v>
      </c>
      <c r="E309" s="1" t="s">
        <v>13</v>
      </c>
      <c r="F309" s="1" t="s">
        <v>14</v>
      </c>
      <c r="G309" s="1">
        <v>7</v>
      </c>
      <c r="H309" s="2">
        <v>1156.69</v>
      </c>
      <c r="I309" s="1">
        <v>0</v>
      </c>
      <c r="J309" s="1" t="s">
        <v>15</v>
      </c>
      <c r="K309" s="2">
        <f>SalesData[[#This Row],[Quantity]]*SalesData[[#This Row],[Unit Price]]*(1-SalesData[[#This Row],[Discount (%)]]/100)</f>
        <v>8096.83</v>
      </c>
    </row>
    <row r="310" spans="1:11" x14ac:dyDescent="0.3">
      <c r="A310" s="6">
        <v>46030</v>
      </c>
      <c r="B310" s="1" t="s">
        <v>425</v>
      </c>
      <c r="C310" s="1" t="s">
        <v>98</v>
      </c>
      <c r="D310" s="1" t="s">
        <v>35</v>
      </c>
      <c r="E310" s="1" t="s">
        <v>13</v>
      </c>
      <c r="F310" s="1" t="s">
        <v>19</v>
      </c>
      <c r="G310" s="1">
        <v>3</v>
      </c>
      <c r="H310" s="2">
        <v>650.9</v>
      </c>
      <c r="I310" s="1">
        <v>10</v>
      </c>
      <c r="J310" s="1" t="s">
        <v>20</v>
      </c>
      <c r="K310" s="2">
        <f>SalesData[[#This Row],[Quantity]]*SalesData[[#This Row],[Unit Price]]*(1-SalesData[[#This Row],[Discount (%)]]/100)</f>
        <v>1757.4299999999998</v>
      </c>
    </row>
    <row r="311" spans="1:11" x14ac:dyDescent="0.3">
      <c r="A311" s="6">
        <v>46050</v>
      </c>
      <c r="B311" s="1" t="s">
        <v>426</v>
      </c>
      <c r="C311" s="1" t="s">
        <v>175</v>
      </c>
      <c r="D311" s="1" t="s">
        <v>23</v>
      </c>
      <c r="E311" s="1" t="s">
        <v>29</v>
      </c>
      <c r="F311" s="1" t="s">
        <v>65</v>
      </c>
      <c r="G311" s="1">
        <v>5</v>
      </c>
      <c r="H311" s="2">
        <v>449.86</v>
      </c>
      <c r="I311" s="1">
        <v>0</v>
      </c>
      <c r="J311" s="1" t="s">
        <v>26</v>
      </c>
      <c r="K311" s="2">
        <f>SalesData[[#This Row],[Quantity]]*SalesData[[#This Row],[Unit Price]]*(1-SalesData[[#This Row],[Discount (%)]]/100)</f>
        <v>2249.3000000000002</v>
      </c>
    </row>
    <row r="312" spans="1:11" x14ac:dyDescent="0.3">
      <c r="A312" s="6">
        <v>46077</v>
      </c>
      <c r="B312" s="1" t="s">
        <v>427</v>
      </c>
      <c r="C312" s="1" t="s">
        <v>191</v>
      </c>
      <c r="D312" s="1" t="s">
        <v>18</v>
      </c>
      <c r="E312" s="1" t="s">
        <v>13</v>
      </c>
      <c r="F312" s="1" t="s">
        <v>14</v>
      </c>
      <c r="G312" s="1">
        <v>10</v>
      </c>
      <c r="H312" s="2">
        <v>419.22</v>
      </c>
      <c r="I312" s="1">
        <v>0</v>
      </c>
      <c r="J312" s="1" t="s">
        <v>15</v>
      </c>
      <c r="K312" s="2">
        <f>SalesData[[#This Row],[Quantity]]*SalesData[[#This Row],[Unit Price]]*(1-SalesData[[#This Row],[Discount (%)]]/100)</f>
        <v>4192.2000000000007</v>
      </c>
    </row>
    <row r="313" spans="1:11" x14ac:dyDescent="0.3">
      <c r="A313" s="6">
        <v>46147</v>
      </c>
      <c r="B313" s="1" t="s">
        <v>428</v>
      </c>
      <c r="C313" s="1" t="s">
        <v>49</v>
      </c>
      <c r="D313" s="1" t="s">
        <v>12</v>
      </c>
      <c r="E313" s="1" t="s">
        <v>29</v>
      </c>
      <c r="F313" s="1" t="s">
        <v>39</v>
      </c>
      <c r="G313" s="1">
        <v>3</v>
      </c>
      <c r="H313" s="2">
        <v>575.66999999999996</v>
      </c>
      <c r="I313" s="1">
        <v>5</v>
      </c>
      <c r="J313" s="1" t="s">
        <v>15</v>
      </c>
      <c r="K313" s="2">
        <f>SalesData[[#This Row],[Quantity]]*SalesData[[#This Row],[Unit Price]]*(1-SalesData[[#This Row],[Discount (%)]]/100)</f>
        <v>1640.6594999999998</v>
      </c>
    </row>
    <row r="314" spans="1:11" x14ac:dyDescent="0.3">
      <c r="A314" s="6">
        <v>46207</v>
      </c>
      <c r="B314" s="1" t="s">
        <v>429</v>
      </c>
      <c r="C314" s="1" t="s">
        <v>78</v>
      </c>
      <c r="D314" s="1" t="s">
        <v>35</v>
      </c>
      <c r="E314" s="1" t="s">
        <v>24</v>
      </c>
      <c r="F314" s="1" t="s">
        <v>25</v>
      </c>
      <c r="G314" s="1">
        <v>3</v>
      </c>
      <c r="H314" s="2">
        <v>882.39</v>
      </c>
      <c r="I314" s="1">
        <v>10</v>
      </c>
      <c r="J314" s="1" t="s">
        <v>26</v>
      </c>
      <c r="K314" s="2">
        <f>SalesData[[#This Row],[Quantity]]*SalesData[[#This Row],[Unit Price]]*(1-SalesData[[#This Row],[Discount (%)]]/100)</f>
        <v>2382.453</v>
      </c>
    </row>
    <row r="315" spans="1:11" x14ac:dyDescent="0.3">
      <c r="A315" s="6">
        <v>46186</v>
      </c>
      <c r="B315" s="1" t="s">
        <v>430</v>
      </c>
      <c r="C315" s="1" t="s">
        <v>173</v>
      </c>
      <c r="D315" s="1" t="s">
        <v>12</v>
      </c>
      <c r="E315" s="1" t="s">
        <v>50</v>
      </c>
      <c r="F315" s="1" t="s">
        <v>63</v>
      </c>
      <c r="G315" s="1">
        <v>4</v>
      </c>
      <c r="H315" s="2">
        <v>308.89</v>
      </c>
      <c r="I315" s="1">
        <v>5</v>
      </c>
      <c r="J315" s="1" t="s">
        <v>26</v>
      </c>
      <c r="K315" s="2">
        <f>SalesData[[#This Row],[Quantity]]*SalesData[[#This Row],[Unit Price]]*(1-SalesData[[#This Row],[Discount (%)]]/100)</f>
        <v>1173.7819999999999</v>
      </c>
    </row>
    <row r="316" spans="1:11" x14ac:dyDescent="0.3">
      <c r="A316" s="6">
        <v>46139</v>
      </c>
      <c r="B316" s="1" t="s">
        <v>431</v>
      </c>
      <c r="C316" s="1" t="s">
        <v>219</v>
      </c>
      <c r="D316" s="1" t="s">
        <v>23</v>
      </c>
      <c r="E316" s="1" t="s">
        <v>29</v>
      </c>
      <c r="F316" s="1" t="s">
        <v>65</v>
      </c>
      <c r="G316" s="1">
        <v>3</v>
      </c>
      <c r="H316" s="2">
        <v>936.51</v>
      </c>
      <c r="I316" s="1">
        <v>5</v>
      </c>
      <c r="J316" s="1" t="s">
        <v>83</v>
      </c>
      <c r="K316" s="2">
        <f>SalesData[[#This Row],[Quantity]]*SalesData[[#This Row],[Unit Price]]*(1-SalesData[[#This Row],[Discount (%)]]/100)</f>
        <v>2669.0534999999995</v>
      </c>
    </row>
    <row r="317" spans="1:11" x14ac:dyDescent="0.3">
      <c r="A317" s="6">
        <v>46027</v>
      </c>
      <c r="B317" s="1" t="s">
        <v>432</v>
      </c>
      <c r="C317" s="1" t="s">
        <v>55</v>
      </c>
      <c r="D317" s="1" t="s">
        <v>12</v>
      </c>
      <c r="E317" s="1" t="s">
        <v>24</v>
      </c>
      <c r="F317" s="1" t="s">
        <v>43</v>
      </c>
      <c r="G317" s="1">
        <v>7</v>
      </c>
      <c r="H317" s="2">
        <v>86.83</v>
      </c>
      <c r="I317" s="1">
        <v>15</v>
      </c>
      <c r="J317" s="1" t="s">
        <v>20</v>
      </c>
      <c r="K317" s="2">
        <f>SalesData[[#This Row],[Quantity]]*SalesData[[#This Row],[Unit Price]]*(1-SalesData[[#This Row],[Discount (%)]]/100)</f>
        <v>516.63849999999991</v>
      </c>
    </row>
    <row r="318" spans="1:11" x14ac:dyDescent="0.3">
      <c r="A318" s="6">
        <v>46030</v>
      </c>
      <c r="B318" s="1" t="s">
        <v>433</v>
      </c>
      <c r="C318" s="1" t="s">
        <v>295</v>
      </c>
      <c r="D318" s="1" t="s">
        <v>23</v>
      </c>
      <c r="E318" s="1" t="s">
        <v>29</v>
      </c>
      <c r="F318" s="1" t="s">
        <v>30</v>
      </c>
      <c r="G318" s="1">
        <v>9</v>
      </c>
      <c r="H318" s="2">
        <v>547.99</v>
      </c>
      <c r="I318" s="1">
        <v>10</v>
      </c>
      <c r="J318" s="1" t="s">
        <v>26</v>
      </c>
      <c r="K318" s="2">
        <f>SalesData[[#This Row],[Quantity]]*SalesData[[#This Row],[Unit Price]]*(1-SalesData[[#This Row],[Discount (%)]]/100)</f>
        <v>4438.7190000000001</v>
      </c>
    </row>
    <row r="319" spans="1:11" x14ac:dyDescent="0.3">
      <c r="A319" s="6">
        <v>46141</v>
      </c>
      <c r="B319" s="1" t="s">
        <v>434</v>
      </c>
      <c r="C319" s="1" t="s">
        <v>284</v>
      </c>
      <c r="D319" s="1" t="s">
        <v>18</v>
      </c>
      <c r="E319" s="1" t="s">
        <v>29</v>
      </c>
      <c r="F319" s="1" t="s">
        <v>39</v>
      </c>
      <c r="G319" s="1">
        <v>8</v>
      </c>
      <c r="H319" s="2">
        <v>1079.3599999999999</v>
      </c>
      <c r="I319" s="1">
        <v>5</v>
      </c>
      <c r="J319" s="1" t="s">
        <v>76</v>
      </c>
      <c r="K319" s="2">
        <f>SalesData[[#This Row],[Quantity]]*SalesData[[#This Row],[Unit Price]]*(1-SalesData[[#This Row],[Discount (%)]]/100)</f>
        <v>8203.1359999999986</v>
      </c>
    </row>
    <row r="320" spans="1:11" x14ac:dyDescent="0.3">
      <c r="A320" s="6">
        <v>46074</v>
      </c>
      <c r="B320" s="1" t="s">
        <v>435</v>
      </c>
      <c r="C320" s="1" t="s">
        <v>17</v>
      </c>
      <c r="D320" s="1" t="s">
        <v>18</v>
      </c>
      <c r="E320" s="1" t="s">
        <v>50</v>
      </c>
      <c r="F320" s="1" t="s">
        <v>58</v>
      </c>
      <c r="G320" s="1">
        <v>8</v>
      </c>
      <c r="H320" s="2">
        <v>152.5</v>
      </c>
      <c r="I320" s="1">
        <v>0</v>
      </c>
      <c r="J320" s="1" t="s">
        <v>15</v>
      </c>
      <c r="K320" s="2">
        <f>SalesData[[#This Row],[Quantity]]*SalesData[[#This Row],[Unit Price]]*(1-SalesData[[#This Row],[Discount (%)]]/100)</f>
        <v>1220</v>
      </c>
    </row>
    <row r="321" spans="1:11" x14ac:dyDescent="0.3">
      <c r="A321" s="6">
        <v>46051</v>
      </c>
      <c r="B321" s="1" t="s">
        <v>436</v>
      </c>
      <c r="C321" s="1" t="s">
        <v>131</v>
      </c>
      <c r="D321" s="1" t="s">
        <v>23</v>
      </c>
      <c r="E321" s="1" t="s">
        <v>50</v>
      </c>
      <c r="F321" s="1" t="s">
        <v>51</v>
      </c>
      <c r="G321" s="1">
        <v>2</v>
      </c>
      <c r="H321" s="2">
        <v>36.79</v>
      </c>
      <c r="I321" s="1">
        <v>10</v>
      </c>
      <c r="J321" s="1" t="s">
        <v>15</v>
      </c>
      <c r="K321" s="2">
        <f>SalesData[[#This Row],[Quantity]]*SalesData[[#This Row],[Unit Price]]*(1-SalesData[[#This Row],[Discount (%)]]/100)</f>
        <v>66.221999999999994</v>
      </c>
    </row>
    <row r="322" spans="1:11" x14ac:dyDescent="0.3">
      <c r="A322" s="6">
        <v>46225</v>
      </c>
      <c r="B322" s="1" t="s">
        <v>437</v>
      </c>
      <c r="C322" s="1" t="s">
        <v>295</v>
      </c>
      <c r="D322" s="1" t="s">
        <v>23</v>
      </c>
      <c r="E322" s="1" t="s">
        <v>29</v>
      </c>
      <c r="F322" s="1" t="s">
        <v>65</v>
      </c>
      <c r="G322" s="1">
        <v>4</v>
      </c>
      <c r="H322" s="2">
        <v>114.72</v>
      </c>
      <c r="I322" s="1">
        <v>15</v>
      </c>
      <c r="J322" s="1" t="s">
        <v>76</v>
      </c>
      <c r="K322" s="2">
        <f>SalesData[[#This Row],[Quantity]]*SalesData[[#This Row],[Unit Price]]*(1-SalesData[[#This Row],[Discount (%)]]/100)</f>
        <v>390.048</v>
      </c>
    </row>
    <row r="323" spans="1:11" x14ac:dyDescent="0.3">
      <c r="A323" s="6">
        <v>46206</v>
      </c>
      <c r="B323" s="1" t="s">
        <v>438</v>
      </c>
      <c r="C323" s="1" t="s">
        <v>122</v>
      </c>
      <c r="D323" s="1" t="s">
        <v>23</v>
      </c>
      <c r="E323" s="1" t="s">
        <v>29</v>
      </c>
      <c r="F323" s="1" t="s">
        <v>30</v>
      </c>
      <c r="G323" s="1">
        <v>3</v>
      </c>
      <c r="H323" s="2">
        <v>610.01</v>
      </c>
      <c r="I323" s="1">
        <v>5</v>
      </c>
      <c r="J323" s="1" t="s">
        <v>83</v>
      </c>
      <c r="K323" s="2">
        <f>SalesData[[#This Row],[Quantity]]*SalesData[[#This Row],[Unit Price]]*(1-SalesData[[#This Row],[Discount (%)]]/100)</f>
        <v>1738.5284999999999</v>
      </c>
    </row>
    <row r="324" spans="1:11" x14ac:dyDescent="0.3">
      <c r="A324" s="6">
        <v>46049</v>
      </c>
      <c r="B324" s="1" t="s">
        <v>439</v>
      </c>
      <c r="C324" s="1" t="s">
        <v>184</v>
      </c>
      <c r="D324" s="1" t="s">
        <v>35</v>
      </c>
      <c r="E324" s="1" t="s">
        <v>50</v>
      </c>
      <c r="F324" s="1" t="s">
        <v>58</v>
      </c>
      <c r="G324" s="1">
        <v>5</v>
      </c>
      <c r="H324" s="2">
        <v>381.65</v>
      </c>
      <c r="I324" s="1">
        <v>15</v>
      </c>
      <c r="J324" s="1" t="s">
        <v>15</v>
      </c>
      <c r="K324" s="2">
        <f>SalesData[[#This Row],[Quantity]]*SalesData[[#This Row],[Unit Price]]*(1-SalesData[[#This Row],[Discount (%)]]/100)</f>
        <v>1622.0125</v>
      </c>
    </row>
    <row r="325" spans="1:11" x14ac:dyDescent="0.3">
      <c r="A325" s="6">
        <v>46080</v>
      </c>
      <c r="B325" s="1" t="s">
        <v>440</v>
      </c>
      <c r="C325" s="1" t="s">
        <v>69</v>
      </c>
      <c r="D325" s="1" t="s">
        <v>12</v>
      </c>
      <c r="E325" s="1" t="s">
        <v>24</v>
      </c>
      <c r="F325" s="1" t="s">
        <v>43</v>
      </c>
      <c r="G325" s="1">
        <v>9</v>
      </c>
      <c r="H325" s="2">
        <v>961.56</v>
      </c>
      <c r="I325" s="1">
        <v>15</v>
      </c>
      <c r="J325" s="1" t="s">
        <v>20</v>
      </c>
      <c r="K325" s="2">
        <f>SalesData[[#This Row],[Quantity]]*SalesData[[#This Row],[Unit Price]]*(1-SalesData[[#This Row],[Discount (%)]]/100)</f>
        <v>7355.9339999999993</v>
      </c>
    </row>
    <row r="326" spans="1:11" x14ac:dyDescent="0.3">
      <c r="A326" s="6">
        <v>46208</v>
      </c>
      <c r="B326" s="1" t="s">
        <v>441</v>
      </c>
      <c r="C326" s="1" t="s">
        <v>191</v>
      </c>
      <c r="D326" s="1" t="s">
        <v>23</v>
      </c>
      <c r="E326" s="1" t="s">
        <v>29</v>
      </c>
      <c r="F326" s="1" t="s">
        <v>65</v>
      </c>
      <c r="G326" s="1">
        <v>6</v>
      </c>
      <c r="H326" s="2">
        <v>406.69</v>
      </c>
      <c r="I326" s="1">
        <v>10</v>
      </c>
      <c r="J326" s="1" t="s">
        <v>20</v>
      </c>
      <c r="K326" s="2">
        <f>SalesData[[#This Row],[Quantity]]*SalesData[[#This Row],[Unit Price]]*(1-SalesData[[#This Row],[Discount (%)]]/100)</f>
        <v>2196.1259999999997</v>
      </c>
    </row>
    <row r="327" spans="1:11" x14ac:dyDescent="0.3">
      <c r="A327" s="6">
        <v>46062</v>
      </c>
      <c r="B327" s="1" t="s">
        <v>442</v>
      </c>
      <c r="C327" s="1" t="s">
        <v>295</v>
      </c>
      <c r="D327" s="1" t="s">
        <v>12</v>
      </c>
      <c r="E327" s="1" t="s">
        <v>29</v>
      </c>
      <c r="F327" s="1" t="s">
        <v>39</v>
      </c>
      <c r="G327" s="1">
        <v>8</v>
      </c>
      <c r="H327" s="2">
        <v>623.41</v>
      </c>
      <c r="I327" s="1">
        <v>0</v>
      </c>
      <c r="J327" s="1" t="s">
        <v>83</v>
      </c>
      <c r="K327" s="2">
        <f>SalesData[[#This Row],[Quantity]]*SalesData[[#This Row],[Unit Price]]*(1-SalesData[[#This Row],[Discount (%)]]/100)</f>
        <v>4987.28</v>
      </c>
    </row>
    <row r="328" spans="1:11" x14ac:dyDescent="0.3">
      <c r="A328" s="6">
        <v>46232</v>
      </c>
      <c r="B328" s="1" t="s">
        <v>443</v>
      </c>
      <c r="C328" s="1" t="s">
        <v>194</v>
      </c>
      <c r="D328" s="1" t="s">
        <v>12</v>
      </c>
      <c r="E328" s="1" t="s">
        <v>13</v>
      </c>
      <c r="F328" s="1" t="s">
        <v>61</v>
      </c>
      <c r="G328" s="1">
        <v>8</v>
      </c>
      <c r="H328" s="2">
        <v>170.87</v>
      </c>
      <c r="I328" s="1">
        <v>5</v>
      </c>
      <c r="J328" s="1" t="s">
        <v>76</v>
      </c>
      <c r="K328" s="2">
        <f>SalesData[[#This Row],[Quantity]]*SalesData[[#This Row],[Unit Price]]*(1-SalesData[[#This Row],[Discount (%)]]/100)</f>
        <v>1298.6120000000001</v>
      </c>
    </row>
    <row r="329" spans="1:11" x14ac:dyDescent="0.3">
      <c r="A329" s="6">
        <v>46155</v>
      </c>
      <c r="B329" s="1" t="s">
        <v>444</v>
      </c>
      <c r="C329" s="1" t="s">
        <v>149</v>
      </c>
      <c r="D329" s="1" t="s">
        <v>12</v>
      </c>
      <c r="E329" s="1" t="s">
        <v>50</v>
      </c>
      <c r="F329" s="1" t="s">
        <v>51</v>
      </c>
      <c r="G329" s="1">
        <v>6</v>
      </c>
      <c r="H329" s="2">
        <v>315.61</v>
      </c>
      <c r="I329" s="1">
        <v>15</v>
      </c>
      <c r="J329" s="1" t="s">
        <v>40</v>
      </c>
      <c r="K329" s="2">
        <f>SalesData[[#This Row],[Quantity]]*SalesData[[#This Row],[Unit Price]]*(1-SalesData[[#This Row],[Discount (%)]]/100)</f>
        <v>1609.6110000000001</v>
      </c>
    </row>
    <row r="330" spans="1:11" x14ac:dyDescent="0.3">
      <c r="A330" s="6">
        <v>46092</v>
      </c>
      <c r="B330" s="1" t="s">
        <v>445</v>
      </c>
      <c r="C330" s="1" t="s">
        <v>177</v>
      </c>
      <c r="D330" s="1" t="s">
        <v>18</v>
      </c>
      <c r="E330" s="1" t="s">
        <v>24</v>
      </c>
      <c r="F330" s="1" t="s">
        <v>36</v>
      </c>
      <c r="G330" s="1">
        <v>1</v>
      </c>
      <c r="H330" s="2">
        <v>698.53</v>
      </c>
      <c r="I330" s="1">
        <v>5</v>
      </c>
      <c r="J330" s="1" t="s">
        <v>83</v>
      </c>
      <c r="K330" s="2">
        <f>SalesData[[#This Row],[Quantity]]*SalesData[[#This Row],[Unit Price]]*(1-SalesData[[#This Row],[Discount (%)]]/100)</f>
        <v>663.60349999999994</v>
      </c>
    </row>
    <row r="331" spans="1:11" x14ac:dyDescent="0.3">
      <c r="A331" s="6">
        <v>46046</v>
      </c>
      <c r="B331" s="1" t="s">
        <v>446</v>
      </c>
      <c r="C331" s="1" t="s">
        <v>359</v>
      </c>
      <c r="D331" s="1" t="s">
        <v>23</v>
      </c>
      <c r="E331" s="1" t="s">
        <v>24</v>
      </c>
      <c r="F331" s="1" t="s">
        <v>43</v>
      </c>
      <c r="G331" s="1">
        <v>8</v>
      </c>
      <c r="H331" s="2">
        <v>144.56</v>
      </c>
      <c r="I331" s="1">
        <v>0</v>
      </c>
      <c r="J331" s="1" t="s">
        <v>20</v>
      </c>
      <c r="K331" s="2">
        <f>SalesData[[#This Row],[Quantity]]*SalesData[[#This Row],[Unit Price]]*(1-SalesData[[#This Row],[Discount (%)]]/100)</f>
        <v>1156.48</v>
      </c>
    </row>
    <row r="332" spans="1:11" x14ac:dyDescent="0.3">
      <c r="A332" s="6">
        <v>46183</v>
      </c>
      <c r="B332" s="1" t="s">
        <v>447</v>
      </c>
      <c r="C332" s="1" t="s">
        <v>53</v>
      </c>
      <c r="D332" s="1" t="s">
        <v>23</v>
      </c>
      <c r="E332" s="1" t="s">
        <v>24</v>
      </c>
      <c r="F332" s="1" t="s">
        <v>25</v>
      </c>
      <c r="G332" s="1">
        <v>4</v>
      </c>
      <c r="H332" s="2">
        <v>709.88</v>
      </c>
      <c r="I332" s="1">
        <v>5</v>
      </c>
      <c r="J332" s="1" t="s">
        <v>15</v>
      </c>
      <c r="K332" s="2">
        <f>SalesData[[#This Row],[Quantity]]*SalesData[[#This Row],[Unit Price]]*(1-SalesData[[#This Row],[Discount (%)]]/100)</f>
        <v>2697.5439999999999</v>
      </c>
    </row>
    <row r="333" spans="1:11" x14ac:dyDescent="0.3">
      <c r="A333" s="6">
        <v>46092</v>
      </c>
      <c r="B333" s="1" t="s">
        <v>448</v>
      </c>
      <c r="C333" s="1" t="s">
        <v>173</v>
      </c>
      <c r="D333" s="1" t="s">
        <v>12</v>
      </c>
      <c r="E333" s="1" t="s">
        <v>24</v>
      </c>
      <c r="F333" s="1" t="s">
        <v>36</v>
      </c>
      <c r="G333" s="1">
        <v>9</v>
      </c>
      <c r="H333" s="2">
        <v>437.08</v>
      </c>
      <c r="I333" s="1">
        <v>10</v>
      </c>
      <c r="J333" s="1" t="s">
        <v>26</v>
      </c>
      <c r="K333" s="2">
        <f>SalesData[[#This Row],[Quantity]]*SalesData[[#This Row],[Unit Price]]*(1-SalesData[[#This Row],[Discount (%)]]/100)</f>
        <v>3540.348</v>
      </c>
    </row>
    <row r="334" spans="1:11" x14ac:dyDescent="0.3">
      <c r="A334" s="6">
        <v>46198</v>
      </c>
      <c r="B334" s="1" t="s">
        <v>449</v>
      </c>
      <c r="C334" s="1" t="s">
        <v>184</v>
      </c>
      <c r="D334" s="1" t="s">
        <v>35</v>
      </c>
      <c r="E334" s="1" t="s">
        <v>24</v>
      </c>
      <c r="F334" s="1" t="s">
        <v>25</v>
      </c>
      <c r="G334" s="1">
        <v>6</v>
      </c>
      <c r="H334" s="2">
        <v>600.52</v>
      </c>
      <c r="I334" s="1">
        <v>15</v>
      </c>
      <c r="J334" s="1" t="s">
        <v>76</v>
      </c>
      <c r="K334" s="2">
        <f>SalesData[[#This Row],[Quantity]]*SalesData[[#This Row],[Unit Price]]*(1-SalesData[[#This Row],[Discount (%)]]/100)</f>
        <v>3062.652</v>
      </c>
    </row>
    <row r="335" spans="1:11" x14ac:dyDescent="0.3">
      <c r="A335" s="6">
        <v>46052</v>
      </c>
      <c r="B335" s="1" t="s">
        <v>450</v>
      </c>
      <c r="C335" s="1" t="s">
        <v>295</v>
      </c>
      <c r="D335" s="1" t="s">
        <v>12</v>
      </c>
      <c r="E335" s="1" t="s">
        <v>24</v>
      </c>
      <c r="F335" s="1" t="s">
        <v>36</v>
      </c>
      <c r="G335" s="1">
        <v>5</v>
      </c>
      <c r="H335" s="2">
        <v>451.93</v>
      </c>
      <c r="I335" s="1">
        <v>0</v>
      </c>
      <c r="J335" s="1" t="s">
        <v>15</v>
      </c>
      <c r="K335" s="2">
        <f>SalesData[[#This Row],[Quantity]]*SalesData[[#This Row],[Unit Price]]*(1-SalesData[[#This Row],[Discount (%)]]/100)</f>
        <v>2259.65</v>
      </c>
    </row>
    <row r="336" spans="1:11" x14ac:dyDescent="0.3">
      <c r="A336" s="6">
        <v>46044</v>
      </c>
      <c r="B336" s="1" t="s">
        <v>451</v>
      </c>
      <c r="C336" s="1" t="s">
        <v>260</v>
      </c>
      <c r="D336" s="1" t="s">
        <v>18</v>
      </c>
      <c r="E336" s="1" t="s">
        <v>29</v>
      </c>
      <c r="F336" s="1" t="s">
        <v>30</v>
      </c>
      <c r="G336" s="1">
        <v>9</v>
      </c>
      <c r="H336" s="2">
        <v>293.7</v>
      </c>
      <c r="I336" s="1">
        <v>10</v>
      </c>
      <c r="J336" s="1" t="s">
        <v>26</v>
      </c>
      <c r="K336" s="2">
        <f>SalesData[[#This Row],[Quantity]]*SalesData[[#This Row],[Unit Price]]*(1-SalesData[[#This Row],[Discount (%)]]/100)</f>
        <v>2378.9699999999998</v>
      </c>
    </row>
    <row r="337" spans="1:11" x14ac:dyDescent="0.3">
      <c r="A337" s="6">
        <v>46201</v>
      </c>
      <c r="B337" s="1" t="s">
        <v>452</v>
      </c>
      <c r="C337" s="1" t="s">
        <v>337</v>
      </c>
      <c r="D337" s="1" t="s">
        <v>12</v>
      </c>
      <c r="E337" s="1" t="s">
        <v>24</v>
      </c>
      <c r="F337" s="1" t="s">
        <v>36</v>
      </c>
      <c r="G337" s="1">
        <v>6</v>
      </c>
      <c r="H337" s="2">
        <v>762.96</v>
      </c>
      <c r="I337" s="1">
        <v>0</v>
      </c>
      <c r="J337" s="1" t="s">
        <v>20</v>
      </c>
      <c r="K337" s="2">
        <f>SalesData[[#This Row],[Quantity]]*SalesData[[#This Row],[Unit Price]]*(1-SalesData[[#This Row],[Discount (%)]]/100)</f>
        <v>4577.76</v>
      </c>
    </row>
    <row r="338" spans="1:11" x14ac:dyDescent="0.3">
      <c r="A338" s="6">
        <v>46106</v>
      </c>
      <c r="B338" s="1" t="s">
        <v>453</v>
      </c>
      <c r="C338" s="1" t="s">
        <v>82</v>
      </c>
      <c r="D338" s="1" t="s">
        <v>35</v>
      </c>
      <c r="E338" s="1" t="s">
        <v>29</v>
      </c>
      <c r="F338" s="1" t="s">
        <v>39</v>
      </c>
      <c r="G338" s="1">
        <v>8</v>
      </c>
      <c r="H338" s="2">
        <v>62.56</v>
      </c>
      <c r="I338" s="1">
        <v>10</v>
      </c>
      <c r="J338" s="1" t="s">
        <v>15</v>
      </c>
      <c r="K338" s="2">
        <f>SalesData[[#This Row],[Quantity]]*SalesData[[#This Row],[Unit Price]]*(1-SalesData[[#This Row],[Discount (%)]]/100)</f>
        <v>450.43200000000002</v>
      </c>
    </row>
    <row r="339" spans="1:11" x14ac:dyDescent="0.3">
      <c r="A339" s="6">
        <v>46160</v>
      </c>
      <c r="B339" s="1" t="s">
        <v>454</v>
      </c>
      <c r="C339" s="1" t="s">
        <v>359</v>
      </c>
      <c r="D339" s="1" t="s">
        <v>35</v>
      </c>
      <c r="E339" s="1" t="s">
        <v>24</v>
      </c>
      <c r="F339" s="1" t="s">
        <v>36</v>
      </c>
      <c r="G339" s="1">
        <v>9</v>
      </c>
      <c r="H339" s="2">
        <v>620.05999999999995</v>
      </c>
      <c r="I339" s="1">
        <v>15</v>
      </c>
      <c r="J339" s="1" t="s">
        <v>20</v>
      </c>
      <c r="K339" s="2">
        <f>SalesData[[#This Row],[Quantity]]*SalesData[[#This Row],[Unit Price]]*(1-SalesData[[#This Row],[Discount (%)]]/100)</f>
        <v>4743.4589999999989</v>
      </c>
    </row>
    <row r="340" spans="1:11" x14ac:dyDescent="0.3">
      <c r="A340" s="6">
        <v>46182</v>
      </c>
      <c r="B340" s="1" t="s">
        <v>455</v>
      </c>
      <c r="C340" s="1" t="s">
        <v>53</v>
      </c>
      <c r="D340" s="1" t="s">
        <v>18</v>
      </c>
      <c r="E340" s="1" t="s">
        <v>24</v>
      </c>
      <c r="F340" s="1" t="s">
        <v>25</v>
      </c>
      <c r="G340" s="1">
        <v>9</v>
      </c>
      <c r="H340" s="2">
        <v>669.36</v>
      </c>
      <c r="I340" s="1">
        <v>0</v>
      </c>
      <c r="J340" s="1" t="s">
        <v>20</v>
      </c>
      <c r="K340" s="2">
        <f>SalesData[[#This Row],[Quantity]]*SalesData[[#This Row],[Unit Price]]*(1-SalesData[[#This Row],[Discount (%)]]/100)</f>
        <v>6024.24</v>
      </c>
    </row>
    <row r="341" spans="1:11" x14ac:dyDescent="0.3">
      <c r="A341" s="6">
        <v>46063</v>
      </c>
      <c r="B341" s="1" t="s">
        <v>456</v>
      </c>
      <c r="C341" s="1" t="s">
        <v>222</v>
      </c>
      <c r="D341" s="1" t="s">
        <v>12</v>
      </c>
      <c r="E341" s="1" t="s">
        <v>13</v>
      </c>
      <c r="F341" s="1" t="s">
        <v>19</v>
      </c>
      <c r="G341" s="1">
        <v>7</v>
      </c>
      <c r="H341" s="2">
        <v>1136.8900000000001</v>
      </c>
      <c r="I341" s="1">
        <v>5</v>
      </c>
      <c r="J341" s="1" t="s">
        <v>15</v>
      </c>
      <c r="K341" s="2">
        <f>SalesData[[#This Row],[Quantity]]*SalesData[[#This Row],[Unit Price]]*(1-SalesData[[#This Row],[Discount (%)]]/100)</f>
        <v>7560.3185000000003</v>
      </c>
    </row>
    <row r="342" spans="1:11" x14ac:dyDescent="0.3">
      <c r="A342" s="6">
        <v>46123</v>
      </c>
      <c r="B342" s="1" t="s">
        <v>457</v>
      </c>
      <c r="C342" s="1" t="s">
        <v>160</v>
      </c>
      <c r="D342" s="1" t="s">
        <v>18</v>
      </c>
      <c r="E342" s="1" t="s">
        <v>13</v>
      </c>
      <c r="F342" s="1" t="s">
        <v>14</v>
      </c>
      <c r="G342" s="1">
        <v>4</v>
      </c>
      <c r="H342" s="2">
        <v>497.48</v>
      </c>
      <c r="I342" s="1">
        <v>10</v>
      </c>
      <c r="J342" s="1" t="s">
        <v>15</v>
      </c>
      <c r="K342" s="2">
        <f>SalesData[[#This Row],[Quantity]]*SalesData[[#This Row],[Unit Price]]*(1-SalesData[[#This Row],[Discount (%)]]/100)</f>
        <v>1790.9280000000001</v>
      </c>
    </row>
    <row r="343" spans="1:11" x14ac:dyDescent="0.3">
      <c r="A343" s="6">
        <v>46092</v>
      </c>
      <c r="B343" s="1" t="s">
        <v>458</v>
      </c>
      <c r="C343" s="1" t="s">
        <v>60</v>
      </c>
      <c r="D343" s="1" t="s">
        <v>23</v>
      </c>
      <c r="E343" s="1" t="s">
        <v>13</v>
      </c>
      <c r="F343" s="1" t="s">
        <v>61</v>
      </c>
      <c r="G343" s="1">
        <v>4</v>
      </c>
      <c r="H343" s="2">
        <v>971.78</v>
      </c>
      <c r="I343" s="1">
        <v>5</v>
      </c>
      <c r="J343" s="1" t="s">
        <v>20</v>
      </c>
      <c r="K343" s="2">
        <f>SalesData[[#This Row],[Quantity]]*SalesData[[#This Row],[Unit Price]]*(1-SalesData[[#This Row],[Discount (%)]]/100)</f>
        <v>3692.7639999999997</v>
      </c>
    </row>
    <row r="344" spans="1:11" x14ac:dyDescent="0.3">
      <c r="A344" s="6">
        <v>46075</v>
      </c>
      <c r="B344" s="1" t="s">
        <v>459</v>
      </c>
      <c r="C344" s="1" t="s">
        <v>187</v>
      </c>
      <c r="D344" s="1" t="s">
        <v>12</v>
      </c>
      <c r="E344" s="1" t="s">
        <v>29</v>
      </c>
      <c r="F344" s="1" t="s">
        <v>65</v>
      </c>
      <c r="G344" s="1">
        <v>2</v>
      </c>
      <c r="H344" s="2">
        <v>95.82</v>
      </c>
      <c r="I344" s="1">
        <v>10</v>
      </c>
      <c r="J344" s="1" t="s">
        <v>15</v>
      </c>
      <c r="K344" s="2">
        <f>SalesData[[#This Row],[Quantity]]*SalesData[[#This Row],[Unit Price]]*(1-SalesData[[#This Row],[Discount (%)]]/100)</f>
        <v>172.476</v>
      </c>
    </row>
    <row r="345" spans="1:11" x14ac:dyDescent="0.3">
      <c r="A345" s="6">
        <v>46142</v>
      </c>
      <c r="B345" s="1" t="s">
        <v>460</v>
      </c>
      <c r="C345" s="1" t="s">
        <v>202</v>
      </c>
      <c r="D345" s="1" t="s">
        <v>18</v>
      </c>
      <c r="E345" s="1" t="s">
        <v>13</v>
      </c>
      <c r="F345" s="1" t="s">
        <v>14</v>
      </c>
      <c r="G345" s="1">
        <v>8</v>
      </c>
      <c r="H345" s="2">
        <v>955.17</v>
      </c>
      <c r="I345" s="1">
        <v>5</v>
      </c>
      <c r="J345" s="1" t="s">
        <v>20</v>
      </c>
      <c r="K345" s="2">
        <f>SalesData[[#This Row],[Quantity]]*SalesData[[#This Row],[Unit Price]]*(1-SalesData[[#This Row],[Discount (%)]]/100)</f>
        <v>7259.2919999999995</v>
      </c>
    </row>
    <row r="346" spans="1:11" x14ac:dyDescent="0.3">
      <c r="A346" s="6">
        <v>46054</v>
      </c>
      <c r="B346" s="1" t="s">
        <v>461</v>
      </c>
      <c r="C346" s="1" t="s">
        <v>34</v>
      </c>
      <c r="D346" s="1" t="s">
        <v>35</v>
      </c>
      <c r="E346" s="1" t="s">
        <v>50</v>
      </c>
      <c r="F346" s="1" t="s">
        <v>51</v>
      </c>
      <c r="G346" s="1">
        <v>2</v>
      </c>
      <c r="H346" s="2">
        <v>180.58</v>
      </c>
      <c r="I346" s="1">
        <v>15</v>
      </c>
      <c r="J346" s="1" t="s">
        <v>20</v>
      </c>
      <c r="K346" s="2">
        <f>SalesData[[#This Row],[Quantity]]*SalesData[[#This Row],[Unit Price]]*(1-SalesData[[#This Row],[Discount (%)]]/100)</f>
        <v>306.98599999999999</v>
      </c>
    </row>
    <row r="347" spans="1:11" x14ac:dyDescent="0.3">
      <c r="A347" s="6">
        <v>46063</v>
      </c>
      <c r="B347" s="1" t="s">
        <v>462</v>
      </c>
      <c r="C347" s="1" t="s">
        <v>181</v>
      </c>
      <c r="D347" s="1" t="s">
        <v>12</v>
      </c>
      <c r="E347" s="1" t="s">
        <v>29</v>
      </c>
      <c r="F347" s="1" t="s">
        <v>39</v>
      </c>
      <c r="G347" s="1">
        <v>10</v>
      </c>
      <c r="H347" s="2">
        <v>222.66</v>
      </c>
      <c r="I347" s="1">
        <v>15</v>
      </c>
      <c r="J347" s="1" t="s">
        <v>15</v>
      </c>
      <c r="K347" s="2">
        <f>SalesData[[#This Row],[Quantity]]*SalesData[[#This Row],[Unit Price]]*(1-SalesData[[#This Row],[Discount (%)]]/100)</f>
        <v>1892.61</v>
      </c>
    </row>
    <row r="348" spans="1:11" x14ac:dyDescent="0.3">
      <c r="A348" s="6">
        <v>46098</v>
      </c>
      <c r="B348" s="1" t="s">
        <v>463</v>
      </c>
      <c r="C348" s="1" t="s">
        <v>189</v>
      </c>
      <c r="D348" s="1" t="s">
        <v>12</v>
      </c>
      <c r="E348" s="1" t="s">
        <v>13</v>
      </c>
      <c r="F348" s="1" t="s">
        <v>14</v>
      </c>
      <c r="G348" s="1">
        <v>8</v>
      </c>
      <c r="H348" s="2">
        <v>74.27</v>
      </c>
      <c r="I348" s="1">
        <v>10</v>
      </c>
      <c r="J348" s="1" t="s">
        <v>15</v>
      </c>
      <c r="K348" s="2">
        <f>SalesData[[#This Row],[Quantity]]*SalesData[[#This Row],[Unit Price]]*(1-SalesData[[#This Row],[Discount (%)]]/100)</f>
        <v>534.74400000000003</v>
      </c>
    </row>
    <row r="349" spans="1:11" x14ac:dyDescent="0.3">
      <c r="A349" s="6">
        <v>46212</v>
      </c>
      <c r="B349" s="1" t="s">
        <v>464</v>
      </c>
      <c r="C349" s="1" t="s">
        <v>271</v>
      </c>
      <c r="D349" s="1" t="s">
        <v>23</v>
      </c>
      <c r="E349" s="1" t="s">
        <v>24</v>
      </c>
      <c r="F349" s="1" t="s">
        <v>43</v>
      </c>
      <c r="G349" s="1">
        <v>10</v>
      </c>
      <c r="H349" s="2">
        <v>503.99</v>
      </c>
      <c r="I349" s="1">
        <v>5</v>
      </c>
      <c r="J349" s="1" t="s">
        <v>76</v>
      </c>
      <c r="K349" s="2">
        <f>SalesData[[#This Row],[Quantity]]*SalesData[[#This Row],[Unit Price]]*(1-SalesData[[#This Row],[Discount (%)]]/100)</f>
        <v>4787.9049999999997</v>
      </c>
    </row>
    <row r="350" spans="1:11" x14ac:dyDescent="0.3">
      <c r="A350" s="6">
        <v>46098</v>
      </c>
      <c r="B350" s="1" t="s">
        <v>465</v>
      </c>
      <c r="C350" s="1" t="s">
        <v>219</v>
      </c>
      <c r="D350" s="1" t="s">
        <v>23</v>
      </c>
      <c r="E350" s="1" t="s">
        <v>24</v>
      </c>
      <c r="F350" s="1" t="s">
        <v>36</v>
      </c>
      <c r="G350" s="1">
        <v>10</v>
      </c>
      <c r="H350" s="2">
        <v>684.93</v>
      </c>
      <c r="I350" s="1">
        <v>0</v>
      </c>
      <c r="J350" s="1" t="s">
        <v>76</v>
      </c>
      <c r="K350" s="2">
        <f>SalesData[[#This Row],[Quantity]]*SalesData[[#This Row],[Unit Price]]*(1-SalesData[[#This Row],[Discount (%)]]/100)</f>
        <v>6849.2999999999993</v>
      </c>
    </row>
    <row r="351" spans="1:11" x14ac:dyDescent="0.3">
      <c r="A351" s="6">
        <v>46199</v>
      </c>
      <c r="B351" s="1" t="s">
        <v>466</v>
      </c>
      <c r="C351" s="1" t="s">
        <v>164</v>
      </c>
      <c r="D351" s="1" t="s">
        <v>12</v>
      </c>
      <c r="E351" s="1" t="s">
        <v>13</v>
      </c>
      <c r="F351" s="1" t="s">
        <v>61</v>
      </c>
      <c r="G351" s="1">
        <v>2</v>
      </c>
      <c r="H351" s="2">
        <v>912.6</v>
      </c>
      <c r="I351" s="1">
        <v>10</v>
      </c>
      <c r="J351" s="1" t="s">
        <v>76</v>
      </c>
      <c r="K351" s="2">
        <f>SalesData[[#This Row],[Quantity]]*SalesData[[#This Row],[Unit Price]]*(1-SalesData[[#This Row],[Discount (%)]]/100)</f>
        <v>1642.68</v>
      </c>
    </row>
    <row r="352" spans="1:11" x14ac:dyDescent="0.3">
      <c r="A352" s="6">
        <v>46124</v>
      </c>
      <c r="B352" s="1" t="s">
        <v>467</v>
      </c>
      <c r="C352" s="1" t="s">
        <v>214</v>
      </c>
      <c r="D352" s="1" t="s">
        <v>35</v>
      </c>
      <c r="E352" s="1" t="s">
        <v>50</v>
      </c>
      <c r="F352" s="1" t="s">
        <v>51</v>
      </c>
      <c r="G352" s="1">
        <v>5</v>
      </c>
      <c r="H352" s="2">
        <v>1010.71</v>
      </c>
      <c r="I352" s="1">
        <v>5</v>
      </c>
      <c r="J352" s="1" t="s">
        <v>76</v>
      </c>
      <c r="K352" s="2">
        <f>SalesData[[#This Row],[Quantity]]*SalesData[[#This Row],[Unit Price]]*(1-SalesData[[#This Row],[Discount (%)]]/100)</f>
        <v>4800.8725000000004</v>
      </c>
    </row>
    <row r="353" spans="1:11" x14ac:dyDescent="0.3">
      <c r="A353" s="6">
        <v>46170</v>
      </c>
      <c r="B353" s="1" t="s">
        <v>468</v>
      </c>
      <c r="C353" s="1" t="s">
        <v>55</v>
      </c>
      <c r="D353" s="1" t="s">
        <v>12</v>
      </c>
      <c r="E353" s="1" t="s">
        <v>50</v>
      </c>
      <c r="F353" s="1" t="s">
        <v>63</v>
      </c>
      <c r="G353" s="1">
        <v>8</v>
      </c>
      <c r="H353" s="2">
        <v>983.86</v>
      </c>
      <c r="I353" s="1">
        <v>10</v>
      </c>
      <c r="J353" s="1" t="s">
        <v>20</v>
      </c>
      <c r="K353" s="2">
        <f>SalesData[[#This Row],[Quantity]]*SalesData[[#This Row],[Unit Price]]*(1-SalesData[[#This Row],[Discount (%)]]/100)</f>
        <v>7083.7920000000004</v>
      </c>
    </row>
    <row r="354" spans="1:11" x14ac:dyDescent="0.3">
      <c r="A354" s="6">
        <v>46047</v>
      </c>
      <c r="B354" s="1" t="s">
        <v>469</v>
      </c>
      <c r="C354" s="1" t="s">
        <v>60</v>
      </c>
      <c r="D354" s="1" t="s">
        <v>12</v>
      </c>
      <c r="E354" s="1" t="s">
        <v>29</v>
      </c>
      <c r="F354" s="1" t="s">
        <v>30</v>
      </c>
      <c r="G354" s="1">
        <v>6</v>
      </c>
      <c r="H354" s="2">
        <v>1125.9100000000001</v>
      </c>
      <c r="I354" s="1">
        <v>10</v>
      </c>
      <c r="J354" s="1" t="s">
        <v>20</v>
      </c>
      <c r="K354" s="2">
        <f>SalesData[[#This Row],[Quantity]]*SalesData[[#This Row],[Unit Price]]*(1-SalesData[[#This Row],[Discount (%)]]/100)</f>
        <v>6079.9140000000007</v>
      </c>
    </row>
    <row r="355" spans="1:11" x14ac:dyDescent="0.3">
      <c r="A355" s="6">
        <v>46031</v>
      </c>
      <c r="B355" s="1" t="s">
        <v>470</v>
      </c>
      <c r="C355" s="1" t="s">
        <v>141</v>
      </c>
      <c r="D355" s="1" t="s">
        <v>23</v>
      </c>
      <c r="E355" s="1" t="s">
        <v>50</v>
      </c>
      <c r="F355" s="1" t="s">
        <v>63</v>
      </c>
      <c r="G355" s="1">
        <v>1</v>
      </c>
      <c r="H355" s="2">
        <v>179.27</v>
      </c>
      <c r="I355" s="1">
        <v>5</v>
      </c>
      <c r="J355" s="1" t="s">
        <v>26</v>
      </c>
      <c r="K355" s="2">
        <f>SalesData[[#This Row],[Quantity]]*SalesData[[#This Row],[Unit Price]]*(1-SalesData[[#This Row],[Discount (%)]]/100)</f>
        <v>170.3065</v>
      </c>
    </row>
    <row r="356" spans="1:11" x14ac:dyDescent="0.3">
      <c r="A356" s="6">
        <v>46061</v>
      </c>
      <c r="B356" s="1" t="s">
        <v>471</v>
      </c>
      <c r="C356" s="1" t="s">
        <v>260</v>
      </c>
      <c r="D356" s="1" t="s">
        <v>23</v>
      </c>
      <c r="E356" s="1" t="s">
        <v>24</v>
      </c>
      <c r="F356" s="1" t="s">
        <v>36</v>
      </c>
      <c r="G356" s="1">
        <v>9</v>
      </c>
      <c r="H356" s="2">
        <v>22.63</v>
      </c>
      <c r="I356" s="1">
        <v>15</v>
      </c>
      <c r="J356" s="1" t="s">
        <v>20</v>
      </c>
      <c r="K356" s="2">
        <f>SalesData[[#This Row],[Quantity]]*SalesData[[#This Row],[Unit Price]]*(1-SalesData[[#This Row],[Discount (%)]]/100)</f>
        <v>173.11949999999999</v>
      </c>
    </row>
    <row r="357" spans="1:11" x14ac:dyDescent="0.3">
      <c r="A357" s="6">
        <v>46126</v>
      </c>
      <c r="B357" s="1" t="s">
        <v>472</v>
      </c>
      <c r="C357" s="1" t="s">
        <v>187</v>
      </c>
      <c r="D357" s="1" t="s">
        <v>18</v>
      </c>
      <c r="E357" s="1" t="s">
        <v>29</v>
      </c>
      <c r="F357" s="1" t="s">
        <v>65</v>
      </c>
      <c r="G357" s="1">
        <v>6</v>
      </c>
      <c r="H357" s="2">
        <v>725.45</v>
      </c>
      <c r="I357" s="1">
        <v>0</v>
      </c>
      <c r="J357" s="1" t="s">
        <v>15</v>
      </c>
      <c r="K357" s="2">
        <f>SalesData[[#This Row],[Quantity]]*SalesData[[#This Row],[Unit Price]]*(1-SalesData[[#This Row],[Discount (%)]]/100)</f>
        <v>4352.7000000000007</v>
      </c>
    </row>
    <row r="358" spans="1:11" x14ac:dyDescent="0.3">
      <c r="A358" s="6">
        <v>46031</v>
      </c>
      <c r="B358" s="1" t="s">
        <v>473</v>
      </c>
      <c r="C358" s="1" t="s">
        <v>151</v>
      </c>
      <c r="D358" s="1" t="s">
        <v>12</v>
      </c>
      <c r="E358" s="1" t="s">
        <v>50</v>
      </c>
      <c r="F358" s="1" t="s">
        <v>63</v>
      </c>
      <c r="G358" s="1">
        <v>9</v>
      </c>
      <c r="H358" s="2">
        <v>1178.1099999999999</v>
      </c>
      <c r="I358" s="1">
        <v>10</v>
      </c>
      <c r="J358" s="1" t="s">
        <v>83</v>
      </c>
      <c r="K358" s="2">
        <f>SalesData[[#This Row],[Quantity]]*SalesData[[#This Row],[Unit Price]]*(1-SalesData[[#This Row],[Discount (%)]]/100)</f>
        <v>9542.6910000000007</v>
      </c>
    </row>
    <row r="359" spans="1:11" x14ac:dyDescent="0.3">
      <c r="A359" s="6">
        <v>46055</v>
      </c>
      <c r="B359" s="1" t="s">
        <v>474</v>
      </c>
      <c r="C359" s="1" t="s">
        <v>175</v>
      </c>
      <c r="D359" s="1" t="s">
        <v>18</v>
      </c>
      <c r="E359" s="1" t="s">
        <v>29</v>
      </c>
      <c r="F359" s="1" t="s">
        <v>39</v>
      </c>
      <c r="G359" s="1">
        <v>6</v>
      </c>
      <c r="H359" s="2">
        <v>1050.49</v>
      </c>
      <c r="I359" s="1">
        <v>10</v>
      </c>
      <c r="J359" s="1" t="s">
        <v>15</v>
      </c>
      <c r="K359" s="2">
        <f>SalesData[[#This Row],[Quantity]]*SalesData[[#This Row],[Unit Price]]*(1-SalesData[[#This Row],[Discount (%)]]/100)</f>
        <v>5672.6460000000006</v>
      </c>
    </row>
    <row r="360" spans="1:11" x14ac:dyDescent="0.3">
      <c r="A360" s="6">
        <v>46036</v>
      </c>
      <c r="B360" s="1" t="s">
        <v>475</v>
      </c>
      <c r="C360" s="1" t="s">
        <v>57</v>
      </c>
      <c r="D360" s="1" t="s">
        <v>18</v>
      </c>
      <c r="E360" s="1" t="s">
        <v>29</v>
      </c>
      <c r="F360" s="1" t="s">
        <v>65</v>
      </c>
      <c r="G360" s="1">
        <v>7</v>
      </c>
      <c r="H360" s="2">
        <v>403.57</v>
      </c>
      <c r="I360" s="1">
        <v>15</v>
      </c>
      <c r="J360" s="1" t="s">
        <v>26</v>
      </c>
      <c r="K360" s="2">
        <f>SalesData[[#This Row],[Quantity]]*SalesData[[#This Row],[Unit Price]]*(1-SalesData[[#This Row],[Discount (%)]]/100)</f>
        <v>2401.2414999999996</v>
      </c>
    </row>
    <row r="361" spans="1:11" x14ac:dyDescent="0.3">
      <c r="A361" s="6">
        <v>46062</v>
      </c>
      <c r="B361" s="1" t="s">
        <v>476</v>
      </c>
      <c r="C361" s="1" t="s">
        <v>175</v>
      </c>
      <c r="D361" s="1" t="s">
        <v>23</v>
      </c>
      <c r="E361" s="1" t="s">
        <v>50</v>
      </c>
      <c r="F361" s="1" t="s">
        <v>58</v>
      </c>
      <c r="G361" s="1">
        <v>7</v>
      </c>
      <c r="H361" s="2">
        <v>497.87</v>
      </c>
      <c r="I361" s="1">
        <v>15</v>
      </c>
      <c r="J361" s="1" t="s">
        <v>40</v>
      </c>
      <c r="K361" s="2">
        <f>SalesData[[#This Row],[Quantity]]*SalesData[[#This Row],[Unit Price]]*(1-SalesData[[#This Row],[Discount (%)]]/100)</f>
        <v>2962.3265000000001</v>
      </c>
    </row>
    <row r="362" spans="1:11" x14ac:dyDescent="0.3">
      <c r="A362" s="6">
        <v>46081</v>
      </c>
      <c r="B362" s="1" t="s">
        <v>477</v>
      </c>
      <c r="C362" s="1" t="s">
        <v>78</v>
      </c>
      <c r="D362" s="1" t="s">
        <v>35</v>
      </c>
      <c r="E362" s="1" t="s">
        <v>50</v>
      </c>
      <c r="F362" s="1" t="s">
        <v>51</v>
      </c>
      <c r="G362" s="1">
        <v>9</v>
      </c>
      <c r="H362" s="2">
        <v>738.27</v>
      </c>
      <c r="I362" s="1">
        <v>0</v>
      </c>
      <c r="J362" s="1" t="s">
        <v>20</v>
      </c>
      <c r="K362" s="2">
        <f>SalesData[[#This Row],[Quantity]]*SalesData[[#This Row],[Unit Price]]*(1-SalesData[[#This Row],[Discount (%)]]/100)</f>
        <v>6644.43</v>
      </c>
    </row>
    <row r="363" spans="1:11" x14ac:dyDescent="0.3">
      <c r="A363" s="6">
        <v>46036</v>
      </c>
      <c r="B363" s="1" t="s">
        <v>478</v>
      </c>
      <c r="C363" s="1" t="s">
        <v>321</v>
      </c>
      <c r="D363" s="1" t="s">
        <v>12</v>
      </c>
      <c r="E363" s="1" t="s">
        <v>24</v>
      </c>
      <c r="F363" s="1" t="s">
        <v>25</v>
      </c>
      <c r="G363" s="1">
        <v>10</v>
      </c>
      <c r="H363" s="2">
        <v>624.80999999999995</v>
      </c>
      <c r="I363" s="1">
        <v>15</v>
      </c>
      <c r="J363" s="1" t="s">
        <v>83</v>
      </c>
      <c r="K363" s="2">
        <f>SalesData[[#This Row],[Quantity]]*SalesData[[#This Row],[Unit Price]]*(1-SalesData[[#This Row],[Discount (%)]]/100)</f>
        <v>5310.8849999999993</v>
      </c>
    </row>
    <row r="364" spans="1:11" x14ac:dyDescent="0.3">
      <c r="A364" s="6">
        <v>46100</v>
      </c>
      <c r="B364" s="1" t="s">
        <v>479</v>
      </c>
      <c r="C364" s="1" t="s">
        <v>232</v>
      </c>
      <c r="D364" s="1" t="s">
        <v>23</v>
      </c>
      <c r="E364" s="1" t="s">
        <v>29</v>
      </c>
      <c r="F364" s="1" t="s">
        <v>39</v>
      </c>
      <c r="G364" s="1">
        <v>9</v>
      </c>
      <c r="H364" s="2">
        <v>972.39</v>
      </c>
      <c r="I364" s="1">
        <v>0</v>
      </c>
      <c r="J364" s="1" t="s">
        <v>83</v>
      </c>
      <c r="K364" s="2">
        <f>SalesData[[#This Row],[Quantity]]*SalesData[[#This Row],[Unit Price]]*(1-SalesData[[#This Row],[Discount (%)]]/100)</f>
        <v>8751.51</v>
      </c>
    </row>
    <row r="365" spans="1:11" x14ac:dyDescent="0.3">
      <c r="A365" s="6">
        <v>46111</v>
      </c>
      <c r="B365" s="1" t="s">
        <v>480</v>
      </c>
      <c r="C365" s="1" t="s">
        <v>17</v>
      </c>
      <c r="D365" s="1" t="s">
        <v>12</v>
      </c>
      <c r="E365" s="1" t="s">
        <v>50</v>
      </c>
      <c r="F365" s="1" t="s">
        <v>58</v>
      </c>
      <c r="G365" s="1">
        <v>4</v>
      </c>
      <c r="H365" s="2">
        <v>807.95</v>
      </c>
      <c r="I365" s="1">
        <v>10</v>
      </c>
      <c r="J365" s="1" t="s">
        <v>20</v>
      </c>
      <c r="K365" s="2">
        <f>SalesData[[#This Row],[Quantity]]*SalesData[[#This Row],[Unit Price]]*(1-SalesData[[#This Row],[Discount (%)]]/100)</f>
        <v>2908.6200000000003</v>
      </c>
    </row>
    <row r="366" spans="1:11" x14ac:dyDescent="0.3">
      <c r="A366" s="6">
        <v>46046</v>
      </c>
      <c r="B366" s="1" t="s">
        <v>481</v>
      </c>
      <c r="C366" s="1" t="s">
        <v>250</v>
      </c>
      <c r="D366" s="1" t="s">
        <v>12</v>
      </c>
      <c r="E366" s="1" t="s">
        <v>13</v>
      </c>
      <c r="F366" s="1" t="s">
        <v>61</v>
      </c>
      <c r="G366" s="1">
        <v>10</v>
      </c>
      <c r="H366" s="2">
        <v>360</v>
      </c>
      <c r="I366" s="1">
        <v>15</v>
      </c>
      <c r="J366" s="1" t="s">
        <v>26</v>
      </c>
      <c r="K366" s="2">
        <f>SalesData[[#This Row],[Quantity]]*SalesData[[#This Row],[Unit Price]]*(1-SalesData[[#This Row],[Discount (%)]]/100)</f>
        <v>3060</v>
      </c>
    </row>
    <row r="367" spans="1:11" x14ac:dyDescent="0.3">
      <c r="A367" s="6">
        <v>46118</v>
      </c>
      <c r="B367" s="1" t="s">
        <v>482</v>
      </c>
      <c r="C367" s="1" t="s">
        <v>138</v>
      </c>
      <c r="D367" s="1" t="s">
        <v>18</v>
      </c>
      <c r="E367" s="1" t="s">
        <v>24</v>
      </c>
      <c r="F367" s="1" t="s">
        <v>43</v>
      </c>
      <c r="G367" s="1">
        <v>4</v>
      </c>
      <c r="H367" s="2">
        <v>714.17</v>
      </c>
      <c r="I367" s="1">
        <v>10</v>
      </c>
      <c r="J367" s="1" t="s">
        <v>15</v>
      </c>
      <c r="K367" s="2">
        <f>SalesData[[#This Row],[Quantity]]*SalesData[[#This Row],[Unit Price]]*(1-SalesData[[#This Row],[Discount (%)]]/100)</f>
        <v>2571.0119999999997</v>
      </c>
    </row>
    <row r="368" spans="1:11" x14ac:dyDescent="0.3">
      <c r="A368" s="6">
        <v>46069</v>
      </c>
      <c r="B368" s="1" t="s">
        <v>483</v>
      </c>
      <c r="C368" s="1" t="s">
        <v>28</v>
      </c>
      <c r="D368" s="1" t="s">
        <v>12</v>
      </c>
      <c r="E368" s="1" t="s">
        <v>13</v>
      </c>
      <c r="F368" s="1" t="s">
        <v>61</v>
      </c>
      <c r="G368" s="1">
        <v>3</v>
      </c>
      <c r="H368" s="2">
        <v>1167.06</v>
      </c>
      <c r="I368" s="1">
        <v>5</v>
      </c>
      <c r="J368" s="1" t="s">
        <v>20</v>
      </c>
      <c r="K368" s="2">
        <f>SalesData[[#This Row],[Quantity]]*SalesData[[#This Row],[Unit Price]]*(1-SalesData[[#This Row],[Discount (%)]]/100)</f>
        <v>3326.1209999999996</v>
      </c>
    </row>
    <row r="369" spans="1:11" x14ac:dyDescent="0.3">
      <c r="A369" s="6">
        <v>46134</v>
      </c>
      <c r="B369" s="1" t="s">
        <v>484</v>
      </c>
      <c r="C369" s="1" t="s">
        <v>295</v>
      </c>
      <c r="D369" s="1" t="s">
        <v>35</v>
      </c>
      <c r="E369" s="1" t="s">
        <v>24</v>
      </c>
      <c r="F369" s="1" t="s">
        <v>43</v>
      </c>
      <c r="G369" s="1">
        <v>1</v>
      </c>
      <c r="H369" s="2">
        <v>962.98</v>
      </c>
      <c r="I369" s="1">
        <v>0</v>
      </c>
      <c r="J369" s="1" t="s">
        <v>76</v>
      </c>
      <c r="K369" s="2">
        <f>SalesData[[#This Row],[Quantity]]*SalesData[[#This Row],[Unit Price]]*(1-SalesData[[#This Row],[Discount (%)]]/100)</f>
        <v>962.98</v>
      </c>
    </row>
    <row r="370" spans="1:11" x14ac:dyDescent="0.3">
      <c r="A370" s="6">
        <v>46062</v>
      </c>
      <c r="B370" s="1" t="s">
        <v>485</v>
      </c>
      <c r="C370" s="1" t="s">
        <v>109</v>
      </c>
      <c r="D370" s="1" t="s">
        <v>12</v>
      </c>
      <c r="E370" s="1" t="s">
        <v>24</v>
      </c>
      <c r="F370" s="1" t="s">
        <v>43</v>
      </c>
      <c r="G370" s="1">
        <v>5</v>
      </c>
      <c r="H370" s="2">
        <v>518.75</v>
      </c>
      <c r="I370" s="1">
        <v>0</v>
      </c>
      <c r="J370" s="1" t="s">
        <v>76</v>
      </c>
      <c r="K370" s="2">
        <f>SalesData[[#This Row],[Quantity]]*SalesData[[#This Row],[Unit Price]]*(1-SalesData[[#This Row],[Discount (%)]]/100)</f>
        <v>2593.75</v>
      </c>
    </row>
    <row r="371" spans="1:11" x14ac:dyDescent="0.3">
      <c r="A371" s="6">
        <v>46120</v>
      </c>
      <c r="B371" s="1" t="s">
        <v>486</v>
      </c>
      <c r="C371" s="1" t="s">
        <v>232</v>
      </c>
      <c r="D371" s="1" t="s">
        <v>35</v>
      </c>
      <c r="E371" s="1" t="s">
        <v>29</v>
      </c>
      <c r="F371" s="1" t="s">
        <v>39</v>
      </c>
      <c r="G371" s="1">
        <v>2</v>
      </c>
      <c r="H371" s="2">
        <v>141.15</v>
      </c>
      <c r="I371" s="1">
        <v>10</v>
      </c>
      <c r="J371" s="1" t="s">
        <v>83</v>
      </c>
      <c r="K371" s="2">
        <f>SalesData[[#This Row],[Quantity]]*SalesData[[#This Row],[Unit Price]]*(1-SalesData[[#This Row],[Discount (%)]]/100)</f>
        <v>254.07000000000002</v>
      </c>
    </row>
    <row r="372" spans="1:11" x14ac:dyDescent="0.3">
      <c r="A372" s="6">
        <v>46115</v>
      </c>
      <c r="B372" s="1" t="s">
        <v>487</v>
      </c>
      <c r="C372" s="1" t="s">
        <v>250</v>
      </c>
      <c r="D372" s="1" t="s">
        <v>23</v>
      </c>
      <c r="E372" s="1" t="s">
        <v>13</v>
      </c>
      <c r="F372" s="1" t="s">
        <v>14</v>
      </c>
      <c r="G372" s="1">
        <v>5</v>
      </c>
      <c r="H372" s="2">
        <v>897.27</v>
      </c>
      <c r="I372" s="1">
        <v>5</v>
      </c>
      <c r="J372" s="1" t="s">
        <v>40</v>
      </c>
      <c r="K372" s="2">
        <f>SalesData[[#This Row],[Quantity]]*SalesData[[#This Row],[Unit Price]]*(1-SalesData[[#This Row],[Discount (%)]]/100)</f>
        <v>4262.0325000000003</v>
      </c>
    </row>
    <row r="373" spans="1:11" x14ac:dyDescent="0.3">
      <c r="A373" s="6">
        <v>46080</v>
      </c>
      <c r="B373" s="1" t="s">
        <v>488</v>
      </c>
      <c r="C373" s="1" t="s">
        <v>96</v>
      </c>
      <c r="D373" s="1" t="s">
        <v>12</v>
      </c>
      <c r="E373" s="1" t="s">
        <v>29</v>
      </c>
      <c r="F373" s="1" t="s">
        <v>65</v>
      </c>
      <c r="G373" s="1">
        <v>6</v>
      </c>
      <c r="H373" s="2">
        <v>1080.67</v>
      </c>
      <c r="I373" s="1">
        <v>0</v>
      </c>
      <c r="J373" s="1" t="s">
        <v>76</v>
      </c>
      <c r="K373" s="2">
        <f>SalesData[[#This Row],[Quantity]]*SalesData[[#This Row],[Unit Price]]*(1-SalesData[[#This Row],[Discount (%)]]/100)</f>
        <v>6484.02</v>
      </c>
    </row>
    <row r="374" spans="1:11" x14ac:dyDescent="0.3">
      <c r="A374" s="6">
        <v>46210</v>
      </c>
      <c r="B374" s="1" t="s">
        <v>489</v>
      </c>
      <c r="C374" s="1" t="s">
        <v>141</v>
      </c>
      <c r="D374" s="1" t="s">
        <v>23</v>
      </c>
      <c r="E374" s="1" t="s">
        <v>24</v>
      </c>
      <c r="F374" s="1" t="s">
        <v>43</v>
      </c>
      <c r="G374" s="1">
        <v>9</v>
      </c>
      <c r="H374" s="2">
        <v>1135.8800000000001</v>
      </c>
      <c r="I374" s="1">
        <v>10</v>
      </c>
      <c r="J374" s="1" t="s">
        <v>83</v>
      </c>
      <c r="K374" s="2">
        <f>SalesData[[#This Row],[Quantity]]*SalesData[[#This Row],[Unit Price]]*(1-SalesData[[#This Row],[Discount (%)]]/100)</f>
        <v>9200.6280000000024</v>
      </c>
    </row>
    <row r="375" spans="1:11" x14ac:dyDescent="0.3">
      <c r="A375" s="6">
        <v>46098</v>
      </c>
      <c r="B375" s="1" t="s">
        <v>490</v>
      </c>
      <c r="C375" s="1" t="s">
        <v>194</v>
      </c>
      <c r="D375" s="1" t="s">
        <v>18</v>
      </c>
      <c r="E375" s="1" t="s">
        <v>24</v>
      </c>
      <c r="F375" s="1" t="s">
        <v>25</v>
      </c>
      <c r="G375" s="1">
        <v>5</v>
      </c>
      <c r="H375" s="2">
        <v>966.24</v>
      </c>
      <c r="I375" s="1">
        <v>10</v>
      </c>
      <c r="J375" s="1" t="s">
        <v>76</v>
      </c>
      <c r="K375" s="2">
        <f>SalesData[[#This Row],[Quantity]]*SalesData[[#This Row],[Unit Price]]*(1-SalesData[[#This Row],[Discount (%)]]/100)</f>
        <v>4348.08</v>
      </c>
    </row>
    <row r="376" spans="1:11" x14ac:dyDescent="0.3">
      <c r="A376" s="6">
        <v>46163</v>
      </c>
      <c r="B376" s="1" t="s">
        <v>491</v>
      </c>
      <c r="C376" s="1" t="s">
        <v>250</v>
      </c>
      <c r="D376" s="1" t="s">
        <v>35</v>
      </c>
      <c r="E376" s="1" t="s">
        <v>29</v>
      </c>
      <c r="F376" s="1" t="s">
        <v>30</v>
      </c>
      <c r="G376" s="1">
        <v>5</v>
      </c>
      <c r="H376" s="2">
        <v>319.89</v>
      </c>
      <c r="I376" s="1">
        <v>0</v>
      </c>
      <c r="J376" s="1" t="s">
        <v>40</v>
      </c>
      <c r="K376" s="2">
        <f>SalesData[[#This Row],[Quantity]]*SalesData[[#This Row],[Unit Price]]*(1-SalesData[[#This Row],[Discount (%)]]/100)</f>
        <v>1599.4499999999998</v>
      </c>
    </row>
    <row r="377" spans="1:11" x14ac:dyDescent="0.3">
      <c r="A377" s="6">
        <v>46088</v>
      </c>
      <c r="B377" s="1" t="s">
        <v>492</v>
      </c>
      <c r="C377" s="1" t="s">
        <v>177</v>
      </c>
      <c r="D377" s="1" t="s">
        <v>35</v>
      </c>
      <c r="E377" s="1" t="s">
        <v>13</v>
      </c>
      <c r="F377" s="1" t="s">
        <v>14</v>
      </c>
      <c r="G377" s="1">
        <v>5</v>
      </c>
      <c r="H377" s="2">
        <v>659.17</v>
      </c>
      <c r="I377" s="1">
        <v>15</v>
      </c>
      <c r="J377" s="1" t="s">
        <v>15</v>
      </c>
      <c r="K377" s="2">
        <f>SalesData[[#This Row],[Quantity]]*SalesData[[#This Row],[Unit Price]]*(1-SalesData[[#This Row],[Discount (%)]]/100)</f>
        <v>2801.4724999999999</v>
      </c>
    </row>
    <row r="378" spans="1:11" x14ac:dyDescent="0.3">
      <c r="A378" s="6">
        <v>46068</v>
      </c>
      <c r="B378" s="1" t="s">
        <v>493</v>
      </c>
      <c r="C378" s="1" t="s">
        <v>250</v>
      </c>
      <c r="D378" s="1" t="s">
        <v>35</v>
      </c>
      <c r="E378" s="1" t="s">
        <v>24</v>
      </c>
      <c r="F378" s="1" t="s">
        <v>36</v>
      </c>
      <c r="G378" s="1">
        <v>10</v>
      </c>
      <c r="H378" s="2">
        <v>677.21</v>
      </c>
      <c r="I378" s="1">
        <v>5</v>
      </c>
      <c r="J378" s="1" t="s">
        <v>40</v>
      </c>
      <c r="K378" s="2">
        <f>SalesData[[#This Row],[Quantity]]*SalesData[[#This Row],[Unit Price]]*(1-SalesData[[#This Row],[Discount (%)]]/100)</f>
        <v>6433.4949999999999</v>
      </c>
    </row>
    <row r="379" spans="1:11" x14ac:dyDescent="0.3">
      <c r="A379" s="6">
        <v>46033</v>
      </c>
      <c r="B379" s="1" t="s">
        <v>494</v>
      </c>
      <c r="C379" s="1" t="s">
        <v>135</v>
      </c>
      <c r="D379" s="1" t="s">
        <v>23</v>
      </c>
      <c r="E379" s="1" t="s">
        <v>29</v>
      </c>
      <c r="F379" s="1" t="s">
        <v>30</v>
      </c>
      <c r="G379" s="1">
        <v>10</v>
      </c>
      <c r="H379" s="2">
        <v>297.14</v>
      </c>
      <c r="I379" s="1">
        <v>10</v>
      </c>
      <c r="J379" s="1" t="s">
        <v>83</v>
      </c>
      <c r="K379" s="2">
        <f>SalesData[[#This Row],[Quantity]]*SalesData[[#This Row],[Unit Price]]*(1-SalesData[[#This Row],[Discount (%)]]/100)</f>
        <v>2674.2599999999998</v>
      </c>
    </row>
    <row r="380" spans="1:11" x14ac:dyDescent="0.3">
      <c r="A380" s="6">
        <v>46032</v>
      </c>
      <c r="B380" s="1" t="s">
        <v>495</v>
      </c>
      <c r="C380" s="1" t="s">
        <v>266</v>
      </c>
      <c r="D380" s="1" t="s">
        <v>35</v>
      </c>
      <c r="E380" s="1" t="s">
        <v>13</v>
      </c>
      <c r="F380" s="1" t="s">
        <v>61</v>
      </c>
      <c r="G380" s="1">
        <v>10</v>
      </c>
      <c r="H380" s="2">
        <v>1182.8800000000001</v>
      </c>
      <c r="I380" s="1">
        <v>10</v>
      </c>
      <c r="J380" s="1" t="s">
        <v>26</v>
      </c>
      <c r="K380" s="2">
        <f>SalesData[[#This Row],[Quantity]]*SalesData[[#This Row],[Unit Price]]*(1-SalesData[[#This Row],[Discount (%)]]/100)</f>
        <v>10645.920000000002</v>
      </c>
    </row>
    <row r="381" spans="1:11" x14ac:dyDescent="0.3">
      <c r="A381" s="6">
        <v>46096</v>
      </c>
      <c r="B381" s="1" t="s">
        <v>496</v>
      </c>
      <c r="C381" s="1" t="s">
        <v>80</v>
      </c>
      <c r="D381" s="1" t="s">
        <v>35</v>
      </c>
      <c r="E381" s="1" t="s">
        <v>24</v>
      </c>
      <c r="F381" s="1" t="s">
        <v>25</v>
      </c>
      <c r="G381" s="1">
        <v>8</v>
      </c>
      <c r="H381" s="2">
        <v>589.69000000000005</v>
      </c>
      <c r="I381" s="1">
        <v>0</v>
      </c>
      <c r="J381" s="1" t="s">
        <v>26</v>
      </c>
      <c r="K381" s="2">
        <f>SalesData[[#This Row],[Quantity]]*SalesData[[#This Row],[Unit Price]]*(1-SalesData[[#This Row],[Discount (%)]]/100)</f>
        <v>4717.5200000000004</v>
      </c>
    </row>
    <row r="382" spans="1:11" x14ac:dyDescent="0.3">
      <c r="A382" s="6">
        <v>46221</v>
      </c>
      <c r="B382" s="1" t="s">
        <v>497</v>
      </c>
      <c r="C382" s="1" t="s">
        <v>67</v>
      </c>
      <c r="D382" s="1" t="s">
        <v>35</v>
      </c>
      <c r="E382" s="1" t="s">
        <v>24</v>
      </c>
      <c r="F382" s="1" t="s">
        <v>25</v>
      </c>
      <c r="G382" s="1">
        <v>10</v>
      </c>
      <c r="H382" s="2">
        <v>788.8</v>
      </c>
      <c r="I382" s="1">
        <v>0</v>
      </c>
      <c r="J382" s="1" t="s">
        <v>15</v>
      </c>
      <c r="K382" s="2">
        <f>SalesData[[#This Row],[Quantity]]*SalesData[[#This Row],[Unit Price]]*(1-SalesData[[#This Row],[Discount (%)]]/100)</f>
        <v>7888</v>
      </c>
    </row>
    <row r="383" spans="1:11" x14ac:dyDescent="0.3">
      <c r="A383" s="6">
        <v>46208</v>
      </c>
      <c r="B383" s="1" t="s">
        <v>498</v>
      </c>
      <c r="C383" s="1" t="s">
        <v>242</v>
      </c>
      <c r="D383" s="1" t="s">
        <v>23</v>
      </c>
      <c r="E383" s="1" t="s">
        <v>29</v>
      </c>
      <c r="F383" s="1" t="s">
        <v>30</v>
      </c>
      <c r="G383" s="1">
        <v>3</v>
      </c>
      <c r="H383" s="2">
        <v>824.77</v>
      </c>
      <c r="I383" s="1">
        <v>5</v>
      </c>
      <c r="J383" s="1" t="s">
        <v>26</v>
      </c>
      <c r="K383" s="2">
        <f>SalesData[[#This Row],[Quantity]]*SalesData[[#This Row],[Unit Price]]*(1-SalesData[[#This Row],[Discount (%)]]/100)</f>
        <v>2350.5944999999997</v>
      </c>
    </row>
    <row r="384" spans="1:11" x14ac:dyDescent="0.3">
      <c r="A384" s="6">
        <v>46086</v>
      </c>
      <c r="B384" s="1" t="s">
        <v>499</v>
      </c>
      <c r="C384" s="1" t="s">
        <v>278</v>
      </c>
      <c r="D384" s="1" t="s">
        <v>35</v>
      </c>
      <c r="E384" s="1" t="s">
        <v>13</v>
      </c>
      <c r="F384" s="1" t="s">
        <v>61</v>
      </c>
      <c r="G384" s="1">
        <v>3</v>
      </c>
      <c r="H384" s="2">
        <v>760.3</v>
      </c>
      <c r="I384" s="1">
        <v>5</v>
      </c>
      <c r="J384" s="1" t="s">
        <v>20</v>
      </c>
      <c r="K384" s="2">
        <f>SalesData[[#This Row],[Quantity]]*SalesData[[#This Row],[Unit Price]]*(1-SalesData[[#This Row],[Discount (%)]]/100)</f>
        <v>2166.8549999999996</v>
      </c>
    </row>
    <row r="385" spans="1:11" x14ac:dyDescent="0.3">
      <c r="A385" s="6">
        <v>46189</v>
      </c>
      <c r="B385" s="1" t="s">
        <v>500</v>
      </c>
      <c r="C385" s="1" t="s">
        <v>93</v>
      </c>
      <c r="D385" s="1" t="s">
        <v>18</v>
      </c>
      <c r="E385" s="1" t="s">
        <v>29</v>
      </c>
      <c r="F385" s="1" t="s">
        <v>65</v>
      </c>
      <c r="G385" s="1">
        <v>10</v>
      </c>
      <c r="H385" s="2">
        <v>370.49</v>
      </c>
      <c r="I385" s="1">
        <v>5</v>
      </c>
      <c r="J385" s="1" t="s">
        <v>83</v>
      </c>
      <c r="K385" s="2">
        <f>SalesData[[#This Row],[Quantity]]*SalesData[[#This Row],[Unit Price]]*(1-SalesData[[#This Row],[Discount (%)]]/100)</f>
        <v>3519.6549999999997</v>
      </c>
    </row>
    <row r="386" spans="1:11" x14ac:dyDescent="0.3">
      <c r="A386" s="6">
        <v>46117</v>
      </c>
      <c r="B386" s="1" t="s">
        <v>501</v>
      </c>
      <c r="C386" s="1" t="s">
        <v>147</v>
      </c>
      <c r="D386" s="1" t="s">
        <v>35</v>
      </c>
      <c r="E386" s="1" t="s">
        <v>50</v>
      </c>
      <c r="F386" s="1" t="s">
        <v>63</v>
      </c>
      <c r="G386" s="1">
        <v>5</v>
      </c>
      <c r="H386" s="2">
        <v>1070.32</v>
      </c>
      <c r="I386" s="1">
        <v>15</v>
      </c>
      <c r="J386" s="1" t="s">
        <v>15</v>
      </c>
      <c r="K386" s="2">
        <f>SalesData[[#This Row],[Quantity]]*SalesData[[#This Row],[Unit Price]]*(1-SalesData[[#This Row],[Discount (%)]]/100)</f>
        <v>4548.8599999999997</v>
      </c>
    </row>
    <row r="387" spans="1:11" x14ac:dyDescent="0.3">
      <c r="A387" s="6">
        <v>46102</v>
      </c>
      <c r="B387" s="1" t="s">
        <v>502</v>
      </c>
      <c r="C387" s="1" t="s">
        <v>260</v>
      </c>
      <c r="D387" s="1" t="s">
        <v>23</v>
      </c>
      <c r="E387" s="1" t="s">
        <v>13</v>
      </c>
      <c r="F387" s="1" t="s">
        <v>14</v>
      </c>
      <c r="G387" s="1">
        <v>5</v>
      </c>
      <c r="H387" s="2">
        <v>589.71</v>
      </c>
      <c r="I387" s="1">
        <v>0</v>
      </c>
      <c r="J387" s="1" t="s">
        <v>83</v>
      </c>
      <c r="K387" s="2">
        <f>SalesData[[#This Row],[Quantity]]*SalesData[[#This Row],[Unit Price]]*(1-SalesData[[#This Row],[Discount (%)]]/100)</f>
        <v>2948.55</v>
      </c>
    </row>
    <row r="388" spans="1:11" x14ac:dyDescent="0.3">
      <c r="A388" s="6">
        <v>46032</v>
      </c>
      <c r="B388" s="1" t="s">
        <v>503</v>
      </c>
      <c r="C388" s="1" t="s">
        <v>32</v>
      </c>
      <c r="D388" s="1" t="s">
        <v>18</v>
      </c>
      <c r="E388" s="1" t="s">
        <v>13</v>
      </c>
      <c r="F388" s="1" t="s">
        <v>61</v>
      </c>
      <c r="G388" s="1">
        <v>10</v>
      </c>
      <c r="H388" s="2">
        <v>750.34</v>
      </c>
      <c r="I388" s="1">
        <v>5</v>
      </c>
      <c r="J388" s="1" t="s">
        <v>20</v>
      </c>
      <c r="K388" s="2">
        <f>SalesData[[#This Row],[Quantity]]*SalesData[[#This Row],[Unit Price]]*(1-SalesData[[#This Row],[Discount (%)]]/100)</f>
        <v>7128.2300000000005</v>
      </c>
    </row>
    <row r="389" spans="1:11" x14ac:dyDescent="0.3">
      <c r="A389" s="6">
        <v>46057</v>
      </c>
      <c r="B389" s="1" t="s">
        <v>504</v>
      </c>
      <c r="C389" s="1" t="s">
        <v>78</v>
      </c>
      <c r="D389" s="1" t="s">
        <v>12</v>
      </c>
      <c r="E389" s="1" t="s">
        <v>24</v>
      </c>
      <c r="F389" s="1" t="s">
        <v>36</v>
      </c>
      <c r="G389" s="1">
        <v>8</v>
      </c>
      <c r="H389" s="2">
        <v>107.48</v>
      </c>
      <c r="I389" s="1">
        <v>10</v>
      </c>
      <c r="J389" s="1" t="s">
        <v>20</v>
      </c>
      <c r="K389" s="2">
        <f>SalesData[[#This Row],[Quantity]]*SalesData[[#This Row],[Unit Price]]*(1-SalesData[[#This Row],[Discount (%)]]/100)</f>
        <v>773.85599999999999</v>
      </c>
    </row>
    <row r="390" spans="1:11" x14ac:dyDescent="0.3">
      <c r="A390" s="6">
        <v>46141</v>
      </c>
      <c r="B390" s="1" t="s">
        <v>505</v>
      </c>
      <c r="C390" s="1" t="s">
        <v>300</v>
      </c>
      <c r="D390" s="1" t="s">
        <v>18</v>
      </c>
      <c r="E390" s="1" t="s">
        <v>13</v>
      </c>
      <c r="F390" s="1" t="s">
        <v>14</v>
      </c>
      <c r="G390" s="1">
        <v>3</v>
      </c>
      <c r="H390" s="2">
        <v>785.23</v>
      </c>
      <c r="I390" s="1">
        <v>10</v>
      </c>
      <c r="J390" s="1" t="s">
        <v>40</v>
      </c>
      <c r="K390" s="2">
        <f>SalesData[[#This Row],[Quantity]]*SalesData[[#This Row],[Unit Price]]*(1-SalesData[[#This Row],[Discount (%)]]/100)</f>
        <v>2120.1210000000001</v>
      </c>
    </row>
    <row r="391" spans="1:11" x14ac:dyDescent="0.3">
      <c r="A391" s="6">
        <v>46139</v>
      </c>
      <c r="B391" s="1" t="s">
        <v>506</v>
      </c>
      <c r="C391" s="1" t="s">
        <v>98</v>
      </c>
      <c r="D391" s="1" t="s">
        <v>12</v>
      </c>
      <c r="E391" s="1" t="s">
        <v>50</v>
      </c>
      <c r="F391" s="1" t="s">
        <v>51</v>
      </c>
      <c r="G391" s="1">
        <v>7</v>
      </c>
      <c r="H391" s="2">
        <v>461.66</v>
      </c>
      <c r="I391" s="1">
        <v>15</v>
      </c>
      <c r="J391" s="1" t="s">
        <v>76</v>
      </c>
      <c r="K391" s="2">
        <f>SalesData[[#This Row],[Quantity]]*SalesData[[#This Row],[Unit Price]]*(1-SalesData[[#This Row],[Discount (%)]]/100)</f>
        <v>2746.8770000000004</v>
      </c>
    </row>
    <row r="392" spans="1:11" x14ac:dyDescent="0.3">
      <c r="A392" s="6">
        <v>46213</v>
      </c>
      <c r="B392" s="1" t="s">
        <v>507</v>
      </c>
      <c r="C392" s="1" t="s">
        <v>49</v>
      </c>
      <c r="D392" s="1" t="s">
        <v>12</v>
      </c>
      <c r="E392" s="1" t="s">
        <v>29</v>
      </c>
      <c r="F392" s="1" t="s">
        <v>39</v>
      </c>
      <c r="G392" s="1">
        <v>6</v>
      </c>
      <c r="H392" s="2">
        <v>410.02</v>
      </c>
      <c r="I392" s="1">
        <v>0</v>
      </c>
      <c r="J392" s="1" t="s">
        <v>20</v>
      </c>
      <c r="K392" s="2">
        <f>SalesData[[#This Row],[Quantity]]*SalesData[[#This Row],[Unit Price]]*(1-SalesData[[#This Row],[Discount (%)]]/100)</f>
        <v>2460.12</v>
      </c>
    </row>
    <row r="393" spans="1:11" x14ac:dyDescent="0.3">
      <c r="A393" s="6">
        <v>46177</v>
      </c>
      <c r="B393" s="1" t="s">
        <v>508</v>
      </c>
      <c r="C393" s="1" t="s">
        <v>89</v>
      </c>
      <c r="D393" s="1" t="s">
        <v>35</v>
      </c>
      <c r="E393" s="1" t="s">
        <v>50</v>
      </c>
      <c r="F393" s="1" t="s">
        <v>51</v>
      </c>
      <c r="G393" s="1">
        <v>1</v>
      </c>
      <c r="H393" s="2">
        <v>973.85</v>
      </c>
      <c r="I393" s="1">
        <v>0</v>
      </c>
      <c r="J393" s="1" t="s">
        <v>40</v>
      </c>
      <c r="K393" s="2">
        <f>SalesData[[#This Row],[Quantity]]*SalesData[[#This Row],[Unit Price]]*(1-SalesData[[#This Row],[Discount (%)]]/100)</f>
        <v>973.85</v>
      </c>
    </row>
    <row r="394" spans="1:11" x14ac:dyDescent="0.3">
      <c r="A394" s="6">
        <v>46182</v>
      </c>
      <c r="B394" s="1" t="s">
        <v>509</v>
      </c>
      <c r="C394" s="1" t="s">
        <v>179</v>
      </c>
      <c r="D394" s="1" t="s">
        <v>23</v>
      </c>
      <c r="E394" s="1" t="s">
        <v>29</v>
      </c>
      <c r="F394" s="1" t="s">
        <v>39</v>
      </c>
      <c r="G394" s="1">
        <v>1</v>
      </c>
      <c r="H394" s="2">
        <v>96.7</v>
      </c>
      <c r="I394" s="1">
        <v>0</v>
      </c>
      <c r="J394" s="1" t="s">
        <v>76</v>
      </c>
      <c r="K394" s="2">
        <f>SalesData[[#This Row],[Quantity]]*SalesData[[#This Row],[Unit Price]]*(1-SalesData[[#This Row],[Discount (%)]]/100)</f>
        <v>96.7</v>
      </c>
    </row>
    <row r="395" spans="1:11" x14ac:dyDescent="0.3">
      <c r="A395" s="6">
        <v>46124</v>
      </c>
      <c r="B395" s="1" t="s">
        <v>510</v>
      </c>
      <c r="C395" s="1" t="s">
        <v>295</v>
      </c>
      <c r="D395" s="1" t="s">
        <v>18</v>
      </c>
      <c r="E395" s="1" t="s">
        <v>24</v>
      </c>
      <c r="F395" s="1" t="s">
        <v>25</v>
      </c>
      <c r="G395" s="1">
        <v>4</v>
      </c>
      <c r="H395" s="2">
        <v>187.37</v>
      </c>
      <c r="I395" s="1">
        <v>0</v>
      </c>
      <c r="J395" s="1" t="s">
        <v>76</v>
      </c>
      <c r="K395" s="2">
        <f>SalesData[[#This Row],[Quantity]]*SalesData[[#This Row],[Unit Price]]*(1-SalesData[[#This Row],[Discount (%)]]/100)</f>
        <v>749.48</v>
      </c>
    </row>
    <row r="396" spans="1:11" x14ac:dyDescent="0.3">
      <c r="A396" s="6">
        <v>46151</v>
      </c>
      <c r="B396" s="1" t="s">
        <v>511</v>
      </c>
      <c r="C396" s="1" t="s">
        <v>47</v>
      </c>
      <c r="D396" s="1" t="s">
        <v>18</v>
      </c>
      <c r="E396" s="1" t="s">
        <v>24</v>
      </c>
      <c r="F396" s="1" t="s">
        <v>36</v>
      </c>
      <c r="G396" s="1">
        <v>9</v>
      </c>
      <c r="H396" s="2">
        <v>974.58</v>
      </c>
      <c r="I396" s="1">
        <v>15</v>
      </c>
      <c r="J396" s="1" t="s">
        <v>76</v>
      </c>
      <c r="K396" s="2">
        <f>SalesData[[#This Row],[Quantity]]*SalesData[[#This Row],[Unit Price]]*(1-SalesData[[#This Row],[Discount (%)]]/100)</f>
        <v>7455.5370000000012</v>
      </c>
    </row>
    <row r="397" spans="1:11" x14ac:dyDescent="0.3">
      <c r="A397" s="6">
        <v>46174</v>
      </c>
      <c r="B397" s="1" t="s">
        <v>512</v>
      </c>
      <c r="C397" s="1" t="s">
        <v>191</v>
      </c>
      <c r="D397" s="1" t="s">
        <v>35</v>
      </c>
      <c r="E397" s="1" t="s">
        <v>50</v>
      </c>
      <c r="F397" s="1" t="s">
        <v>58</v>
      </c>
      <c r="G397" s="1">
        <v>4</v>
      </c>
      <c r="H397" s="2">
        <v>406.06</v>
      </c>
      <c r="I397" s="1">
        <v>0</v>
      </c>
      <c r="J397" s="1" t="s">
        <v>15</v>
      </c>
      <c r="K397" s="2">
        <f>SalesData[[#This Row],[Quantity]]*SalesData[[#This Row],[Unit Price]]*(1-SalesData[[#This Row],[Discount (%)]]/100)</f>
        <v>1624.24</v>
      </c>
    </row>
    <row r="398" spans="1:11" x14ac:dyDescent="0.3">
      <c r="A398" s="6">
        <v>46141</v>
      </c>
      <c r="B398" s="1" t="s">
        <v>513</v>
      </c>
      <c r="C398" s="1" t="s">
        <v>32</v>
      </c>
      <c r="D398" s="1" t="s">
        <v>23</v>
      </c>
      <c r="E398" s="1" t="s">
        <v>29</v>
      </c>
      <c r="F398" s="1" t="s">
        <v>65</v>
      </c>
      <c r="G398" s="1">
        <v>4</v>
      </c>
      <c r="H398" s="2">
        <v>446.82</v>
      </c>
      <c r="I398" s="1">
        <v>5</v>
      </c>
      <c r="J398" s="1" t="s">
        <v>76</v>
      </c>
      <c r="K398" s="2">
        <f>SalesData[[#This Row],[Quantity]]*SalesData[[#This Row],[Unit Price]]*(1-SalesData[[#This Row],[Discount (%)]]/100)</f>
        <v>1697.9159999999999</v>
      </c>
    </row>
    <row r="399" spans="1:11" x14ac:dyDescent="0.3">
      <c r="A399" s="6">
        <v>46202</v>
      </c>
      <c r="B399" s="1" t="s">
        <v>514</v>
      </c>
      <c r="C399" s="1" t="s">
        <v>173</v>
      </c>
      <c r="D399" s="1" t="s">
        <v>23</v>
      </c>
      <c r="E399" s="1" t="s">
        <v>24</v>
      </c>
      <c r="F399" s="1" t="s">
        <v>43</v>
      </c>
      <c r="G399" s="1">
        <v>2</v>
      </c>
      <c r="H399" s="2">
        <v>163.71</v>
      </c>
      <c r="I399" s="1">
        <v>10</v>
      </c>
      <c r="J399" s="1" t="s">
        <v>15</v>
      </c>
      <c r="K399" s="2">
        <f>SalesData[[#This Row],[Quantity]]*SalesData[[#This Row],[Unit Price]]*(1-SalesData[[#This Row],[Discount (%)]]/100)</f>
        <v>294.678</v>
      </c>
    </row>
    <row r="400" spans="1:11" x14ac:dyDescent="0.3">
      <c r="A400" s="6">
        <v>46043</v>
      </c>
      <c r="B400" s="1" t="s">
        <v>515</v>
      </c>
      <c r="C400" s="1" t="s">
        <v>98</v>
      </c>
      <c r="D400" s="1" t="s">
        <v>23</v>
      </c>
      <c r="E400" s="1" t="s">
        <v>29</v>
      </c>
      <c r="F400" s="1" t="s">
        <v>65</v>
      </c>
      <c r="G400" s="1">
        <v>3</v>
      </c>
      <c r="H400" s="2">
        <v>821.3</v>
      </c>
      <c r="I400" s="1">
        <v>5</v>
      </c>
      <c r="J400" s="1" t="s">
        <v>26</v>
      </c>
      <c r="K400" s="2">
        <f>SalesData[[#This Row],[Quantity]]*SalesData[[#This Row],[Unit Price]]*(1-SalesData[[#This Row],[Discount (%)]]/100)</f>
        <v>2340.7049999999995</v>
      </c>
    </row>
    <row r="401" spans="1:11" x14ac:dyDescent="0.3">
      <c r="A401" s="6">
        <v>46200</v>
      </c>
      <c r="B401" s="1" t="s">
        <v>516</v>
      </c>
      <c r="C401" s="1" t="s">
        <v>179</v>
      </c>
      <c r="D401" s="1" t="s">
        <v>35</v>
      </c>
      <c r="E401" s="1" t="s">
        <v>50</v>
      </c>
      <c r="F401" s="1" t="s">
        <v>51</v>
      </c>
      <c r="G401" s="1">
        <v>1</v>
      </c>
      <c r="H401" s="2">
        <v>782.47</v>
      </c>
      <c r="I401" s="1">
        <v>15</v>
      </c>
      <c r="J401" s="1" t="s">
        <v>76</v>
      </c>
      <c r="K401" s="2">
        <f>SalesData[[#This Row],[Quantity]]*SalesData[[#This Row],[Unit Price]]*(1-SalesData[[#This Row],[Discount (%)]]/100)</f>
        <v>665.09950000000003</v>
      </c>
    </row>
    <row r="402" spans="1:11" x14ac:dyDescent="0.3">
      <c r="A402" s="6">
        <v>46111</v>
      </c>
      <c r="B402" s="1" t="s">
        <v>517</v>
      </c>
      <c r="C402" s="1" t="s">
        <v>120</v>
      </c>
      <c r="D402" s="1" t="s">
        <v>35</v>
      </c>
      <c r="E402" s="1" t="s">
        <v>13</v>
      </c>
      <c r="F402" s="1" t="s">
        <v>61</v>
      </c>
      <c r="G402" s="1">
        <v>5</v>
      </c>
      <c r="H402" s="2">
        <v>697.16</v>
      </c>
      <c r="I402" s="1">
        <v>5</v>
      </c>
      <c r="J402" s="1" t="s">
        <v>83</v>
      </c>
      <c r="K402" s="2">
        <f>SalesData[[#This Row],[Quantity]]*SalesData[[#This Row],[Unit Price]]*(1-SalesData[[#This Row],[Discount (%)]]/100)</f>
        <v>3311.5099999999998</v>
      </c>
    </row>
    <row r="403" spans="1:11" x14ac:dyDescent="0.3">
      <c r="A403" s="6">
        <v>46159</v>
      </c>
      <c r="B403" s="1" t="s">
        <v>518</v>
      </c>
      <c r="C403" s="1" t="s">
        <v>194</v>
      </c>
      <c r="D403" s="1" t="s">
        <v>35</v>
      </c>
      <c r="E403" s="1" t="s">
        <v>24</v>
      </c>
      <c r="F403" s="1" t="s">
        <v>25</v>
      </c>
      <c r="G403" s="1">
        <v>5</v>
      </c>
      <c r="H403" s="2">
        <v>1110.71</v>
      </c>
      <c r="I403" s="1">
        <v>10</v>
      </c>
      <c r="J403" s="1" t="s">
        <v>83</v>
      </c>
      <c r="K403" s="2">
        <f>SalesData[[#This Row],[Quantity]]*SalesData[[#This Row],[Unit Price]]*(1-SalesData[[#This Row],[Discount (%)]]/100)</f>
        <v>4998.1950000000006</v>
      </c>
    </row>
    <row r="404" spans="1:11" x14ac:dyDescent="0.3">
      <c r="A404" s="6">
        <v>46207</v>
      </c>
      <c r="B404" s="1" t="s">
        <v>519</v>
      </c>
      <c r="C404" s="1" t="s">
        <v>38</v>
      </c>
      <c r="D404" s="1" t="s">
        <v>23</v>
      </c>
      <c r="E404" s="1" t="s">
        <v>50</v>
      </c>
      <c r="F404" s="1" t="s">
        <v>72</v>
      </c>
      <c r="G404" s="1">
        <v>10</v>
      </c>
      <c r="H404" s="2">
        <v>1079.32</v>
      </c>
      <c r="I404" s="1">
        <v>0</v>
      </c>
      <c r="J404" s="1" t="s">
        <v>76</v>
      </c>
      <c r="K404" s="2">
        <f>SalesData[[#This Row],[Quantity]]*SalesData[[#This Row],[Unit Price]]*(1-SalesData[[#This Row],[Discount (%)]]/100)</f>
        <v>10793.199999999999</v>
      </c>
    </row>
    <row r="405" spans="1:11" x14ac:dyDescent="0.3">
      <c r="A405" s="6">
        <v>46125</v>
      </c>
      <c r="B405" s="1" t="s">
        <v>520</v>
      </c>
      <c r="C405" s="1" t="s">
        <v>300</v>
      </c>
      <c r="D405" s="1" t="s">
        <v>23</v>
      </c>
      <c r="E405" s="1" t="s">
        <v>13</v>
      </c>
      <c r="F405" s="1" t="s">
        <v>61</v>
      </c>
      <c r="G405" s="1">
        <v>5</v>
      </c>
      <c r="H405" s="2">
        <v>774.79</v>
      </c>
      <c r="I405" s="1">
        <v>0</v>
      </c>
      <c r="J405" s="1" t="s">
        <v>15</v>
      </c>
      <c r="K405" s="2">
        <f>SalesData[[#This Row],[Quantity]]*SalesData[[#This Row],[Unit Price]]*(1-SalesData[[#This Row],[Discount (%)]]/100)</f>
        <v>3873.95</v>
      </c>
    </row>
    <row r="406" spans="1:11" x14ac:dyDescent="0.3">
      <c r="A406" s="6">
        <v>46225</v>
      </c>
      <c r="B406" s="1" t="s">
        <v>521</v>
      </c>
      <c r="C406" s="1" t="s">
        <v>191</v>
      </c>
      <c r="D406" s="1" t="s">
        <v>12</v>
      </c>
      <c r="E406" s="1" t="s">
        <v>24</v>
      </c>
      <c r="F406" s="1" t="s">
        <v>43</v>
      </c>
      <c r="G406" s="1">
        <v>5</v>
      </c>
      <c r="H406" s="2">
        <v>176.53</v>
      </c>
      <c r="I406" s="1">
        <v>5</v>
      </c>
      <c r="J406" s="1" t="s">
        <v>20</v>
      </c>
      <c r="K406" s="2">
        <f>SalesData[[#This Row],[Quantity]]*SalesData[[#This Row],[Unit Price]]*(1-SalesData[[#This Row],[Discount (%)]]/100)</f>
        <v>838.51749999999993</v>
      </c>
    </row>
    <row r="407" spans="1:11" x14ac:dyDescent="0.3">
      <c r="A407" s="6">
        <v>46221</v>
      </c>
      <c r="B407" s="1" t="s">
        <v>522</v>
      </c>
      <c r="C407" s="1" t="s">
        <v>32</v>
      </c>
      <c r="D407" s="1" t="s">
        <v>35</v>
      </c>
      <c r="E407" s="1" t="s">
        <v>50</v>
      </c>
      <c r="F407" s="1" t="s">
        <v>63</v>
      </c>
      <c r="G407" s="1">
        <v>6</v>
      </c>
      <c r="H407" s="2">
        <v>714.04</v>
      </c>
      <c r="I407" s="1">
        <v>0</v>
      </c>
      <c r="J407" s="1" t="s">
        <v>40</v>
      </c>
      <c r="K407" s="2">
        <f>SalesData[[#This Row],[Quantity]]*SalesData[[#This Row],[Unit Price]]*(1-SalesData[[#This Row],[Discount (%)]]/100)</f>
        <v>4284.24</v>
      </c>
    </row>
    <row r="408" spans="1:11" x14ac:dyDescent="0.3">
      <c r="A408" s="6">
        <v>46139</v>
      </c>
      <c r="B408" s="1" t="s">
        <v>523</v>
      </c>
      <c r="C408" s="1" t="s">
        <v>166</v>
      </c>
      <c r="D408" s="1" t="s">
        <v>12</v>
      </c>
      <c r="E408" s="1" t="s">
        <v>29</v>
      </c>
      <c r="F408" s="1" t="s">
        <v>30</v>
      </c>
      <c r="G408" s="1">
        <v>2</v>
      </c>
      <c r="H408" s="2">
        <v>410.39</v>
      </c>
      <c r="I408" s="1">
        <v>0</v>
      </c>
      <c r="J408" s="1" t="s">
        <v>83</v>
      </c>
      <c r="K408" s="2">
        <f>SalesData[[#This Row],[Quantity]]*SalesData[[#This Row],[Unit Price]]*(1-SalesData[[#This Row],[Discount (%)]]/100)</f>
        <v>820.78</v>
      </c>
    </row>
    <row r="409" spans="1:11" x14ac:dyDescent="0.3">
      <c r="A409" s="6">
        <v>46035</v>
      </c>
      <c r="B409" s="1" t="s">
        <v>524</v>
      </c>
      <c r="C409" s="1" t="s">
        <v>173</v>
      </c>
      <c r="D409" s="1" t="s">
        <v>12</v>
      </c>
      <c r="E409" s="1" t="s">
        <v>29</v>
      </c>
      <c r="F409" s="1" t="s">
        <v>39</v>
      </c>
      <c r="G409" s="1">
        <v>10</v>
      </c>
      <c r="H409" s="2">
        <v>376.78</v>
      </c>
      <c r="I409" s="1">
        <v>5</v>
      </c>
      <c r="J409" s="1" t="s">
        <v>83</v>
      </c>
      <c r="K409" s="2">
        <f>SalesData[[#This Row],[Quantity]]*SalesData[[#This Row],[Unit Price]]*(1-SalesData[[#This Row],[Discount (%)]]/100)</f>
        <v>3579.4099999999994</v>
      </c>
    </row>
    <row r="410" spans="1:11" x14ac:dyDescent="0.3">
      <c r="A410" s="6">
        <v>46069</v>
      </c>
      <c r="B410" s="1" t="s">
        <v>525</v>
      </c>
      <c r="C410" s="1" t="s">
        <v>22</v>
      </c>
      <c r="D410" s="1" t="s">
        <v>12</v>
      </c>
      <c r="E410" s="1" t="s">
        <v>13</v>
      </c>
      <c r="F410" s="1" t="s">
        <v>61</v>
      </c>
      <c r="G410" s="1">
        <v>6</v>
      </c>
      <c r="H410" s="2">
        <v>661.51</v>
      </c>
      <c r="I410" s="1">
        <v>10</v>
      </c>
      <c r="J410" s="1" t="s">
        <v>15</v>
      </c>
      <c r="K410" s="2">
        <f>SalesData[[#This Row],[Quantity]]*SalesData[[#This Row],[Unit Price]]*(1-SalesData[[#This Row],[Discount (%)]]/100)</f>
        <v>3572.154</v>
      </c>
    </row>
    <row r="411" spans="1:11" x14ac:dyDescent="0.3">
      <c r="A411" s="6">
        <v>46170</v>
      </c>
      <c r="B411" s="1" t="s">
        <v>526</v>
      </c>
      <c r="C411" s="1" t="s">
        <v>271</v>
      </c>
      <c r="D411" s="1" t="s">
        <v>18</v>
      </c>
      <c r="E411" s="1" t="s">
        <v>29</v>
      </c>
      <c r="F411" s="1" t="s">
        <v>65</v>
      </c>
      <c r="G411" s="1">
        <v>5</v>
      </c>
      <c r="H411" s="2">
        <v>592.24</v>
      </c>
      <c r="I411" s="1">
        <v>5</v>
      </c>
      <c r="J411" s="1" t="s">
        <v>15</v>
      </c>
      <c r="K411" s="2">
        <f>SalesData[[#This Row],[Quantity]]*SalesData[[#This Row],[Unit Price]]*(1-SalesData[[#This Row],[Discount (%)]]/100)</f>
        <v>2813.14</v>
      </c>
    </row>
    <row r="412" spans="1:11" x14ac:dyDescent="0.3">
      <c r="A412" s="6">
        <v>46229</v>
      </c>
      <c r="B412" s="1" t="s">
        <v>527</v>
      </c>
      <c r="C412" s="1" t="s">
        <v>175</v>
      </c>
      <c r="D412" s="1" t="s">
        <v>12</v>
      </c>
      <c r="E412" s="1" t="s">
        <v>50</v>
      </c>
      <c r="F412" s="1" t="s">
        <v>63</v>
      </c>
      <c r="G412" s="1">
        <v>2</v>
      </c>
      <c r="H412" s="2">
        <v>940.25</v>
      </c>
      <c r="I412" s="1">
        <v>0</v>
      </c>
      <c r="J412" s="1" t="s">
        <v>76</v>
      </c>
      <c r="K412" s="2">
        <f>SalesData[[#This Row],[Quantity]]*SalesData[[#This Row],[Unit Price]]*(1-SalesData[[#This Row],[Discount (%)]]/100)</f>
        <v>1880.5</v>
      </c>
    </row>
    <row r="413" spans="1:11" x14ac:dyDescent="0.3">
      <c r="A413" s="6">
        <v>46057</v>
      </c>
      <c r="B413" s="1" t="s">
        <v>528</v>
      </c>
      <c r="C413" s="1" t="s">
        <v>278</v>
      </c>
      <c r="D413" s="1" t="s">
        <v>18</v>
      </c>
      <c r="E413" s="1" t="s">
        <v>29</v>
      </c>
      <c r="F413" s="1" t="s">
        <v>39</v>
      </c>
      <c r="G413" s="1">
        <v>1</v>
      </c>
      <c r="H413" s="2">
        <v>29.62</v>
      </c>
      <c r="I413" s="1">
        <v>5</v>
      </c>
      <c r="J413" s="1" t="s">
        <v>26</v>
      </c>
      <c r="K413" s="2">
        <f>SalesData[[#This Row],[Quantity]]*SalesData[[#This Row],[Unit Price]]*(1-SalesData[[#This Row],[Discount (%)]]/100)</f>
        <v>28.138999999999999</v>
      </c>
    </row>
    <row r="414" spans="1:11" x14ac:dyDescent="0.3">
      <c r="A414" s="6">
        <v>46034</v>
      </c>
      <c r="B414" s="1" t="s">
        <v>529</v>
      </c>
      <c r="C414" s="1" t="s">
        <v>359</v>
      </c>
      <c r="D414" s="1" t="s">
        <v>12</v>
      </c>
      <c r="E414" s="1" t="s">
        <v>29</v>
      </c>
      <c r="F414" s="1" t="s">
        <v>30</v>
      </c>
      <c r="G414" s="1">
        <v>10</v>
      </c>
      <c r="H414" s="2">
        <v>852.41</v>
      </c>
      <c r="I414" s="1">
        <v>15</v>
      </c>
      <c r="J414" s="1" t="s">
        <v>26</v>
      </c>
      <c r="K414" s="2">
        <f>SalesData[[#This Row],[Quantity]]*SalesData[[#This Row],[Unit Price]]*(1-SalesData[[#This Row],[Discount (%)]]/100)</f>
        <v>7245.4849999999997</v>
      </c>
    </row>
    <row r="415" spans="1:11" x14ac:dyDescent="0.3">
      <c r="A415" s="6">
        <v>46229</v>
      </c>
      <c r="B415" s="1" t="s">
        <v>530</v>
      </c>
      <c r="C415" s="1" t="s">
        <v>104</v>
      </c>
      <c r="D415" s="1" t="s">
        <v>12</v>
      </c>
      <c r="E415" s="1" t="s">
        <v>50</v>
      </c>
      <c r="F415" s="1" t="s">
        <v>58</v>
      </c>
      <c r="G415" s="1">
        <v>8</v>
      </c>
      <c r="H415" s="2">
        <v>1123</v>
      </c>
      <c r="I415" s="1">
        <v>5</v>
      </c>
      <c r="J415" s="1" t="s">
        <v>15</v>
      </c>
      <c r="K415" s="2">
        <f>SalesData[[#This Row],[Quantity]]*SalesData[[#This Row],[Unit Price]]*(1-SalesData[[#This Row],[Discount (%)]]/100)</f>
        <v>8534.7999999999993</v>
      </c>
    </row>
    <row r="416" spans="1:11" x14ac:dyDescent="0.3">
      <c r="A416" s="6">
        <v>46219</v>
      </c>
      <c r="B416" s="1" t="s">
        <v>531</v>
      </c>
      <c r="C416" s="1" t="s">
        <v>106</v>
      </c>
      <c r="D416" s="1" t="s">
        <v>12</v>
      </c>
      <c r="E416" s="1" t="s">
        <v>29</v>
      </c>
      <c r="F416" s="1" t="s">
        <v>65</v>
      </c>
      <c r="G416" s="1">
        <v>7</v>
      </c>
      <c r="H416" s="2">
        <v>468.77</v>
      </c>
      <c r="I416" s="1">
        <v>10</v>
      </c>
      <c r="J416" s="1" t="s">
        <v>26</v>
      </c>
      <c r="K416" s="2">
        <f>SalesData[[#This Row],[Quantity]]*SalesData[[#This Row],[Unit Price]]*(1-SalesData[[#This Row],[Discount (%)]]/100)</f>
        <v>2953.2509999999997</v>
      </c>
    </row>
    <row r="417" spans="1:11" x14ac:dyDescent="0.3">
      <c r="A417" s="6">
        <v>46205</v>
      </c>
      <c r="B417" s="1" t="s">
        <v>532</v>
      </c>
      <c r="C417" s="1" t="s">
        <v>122</v>
      </c>
      <c r="D417" s="1" t="s">
        <v>12</v>
      </c>
      <c r="E417" s="1" t="s">
        <v>50</v>
      </c>
      <c r="F417" s="1" t="s">
        <v>72</v>
      </c>
      <c r="G417" s="1">
        <v>5</v>
      </c>
      <c r="H417" s="2">
        <v>689.76</v>
      </c>
      <c r="I417" s="1">
        <v>10</v>
      </c>
      <c r="J417" s="1" t="s">
        <v>76</v>
      </c>
      <c r="K417" s="2">
        <f>SalesData[[#This Row],[Quantity]]*SalesData[[#This Row],[Unit Price]]*(1-SalesData[[#This Row],[Discount (%)]]/100)</f>
        <v>3103.92</v>
      </c>
    </row>
    <row r="418" spans="1:11" x14ac:dyDescent="0.3">
      <c r="A418" s="6">
        <v>46198</v>
      </c>
      <c r="B418" s="1" t="s">
        <v>533</v>
      </c>
      <c r="C418" s="1" t="s">
        <v>80</v>
      </c>
      <c r="D418" s="1" t="s">
        <v>35</v>
      </c>
      <c r="E418" s="1" t="s">
        <v>50</v>
      </c>
      <c r="F418" s="1" t="s">
        <v>72</v>
      </c>
      <c r="G418" s="1">
        <v>10</v>
      </c>
      <c r="H418" s="2">
        <v>251.25</v>
      </c>
      <c r="I418" s="1">
        <v>10</v>
      </c>
      <c r="J418" s="1" t="s">
        <v>40</v>
      </c>
      <c r="K418" s="2">
        <f>SalesData[[#This Row],[Quantity]]*SalesData[[#This Row],[Unit Price]]*(1-SalesData[[#This Row],[Discount (%)]]/100)</f>
        <v>2261.25</v>
      </c>
    </row>
    <row r="419" spans="1:11" x14ac:dyDescent="0.3">
      <c r="A419" s="6">
        <v>46074</v>
      </c>
      <c r="B419" s="1" t="s">
        <v>534</v>
      </c>
      <c r="C419" s="1" t="s">
        <v>202</v>
      </c>
      <c r="D419" s="1" t="s">
        <v>12</v>
      </c>
      <c r="E419" s="1" t="s">
        <v>13</v>
      </c>
      <c r="F419" s="1" t="s">
        <v>61</v>
      </c>
      <c r="G419" s="1">
        <v>10</v>
      </c>
      <c r="H419" s="2">
        <v>500.96</v>
      </c>
      <c r="I419" s="1">
        <v>5</v>
      </c>
      <c r="J419" s="1" t="s">
        <v>15</v>
      </c>
      <c r="K419" s="2">
        <f>SalesData[[#This Row],[Quantity]]*SalesData[[#This Row],[Unit Price]]*(1-SalesData[[#This Row],[Discount (%)]]/100)</f>
        <v>4759.119999999999</v>
      </c>
    </row>
    <row r="420" spans="1:11" x14ac:dyDescent="0.3">
      <c r="A420" s="6">
        <v>46062</v>
      </c>
      <c r="B420" s="1" t="s">
        <v>535</v>
      </c>
      <c r="C420" s="1" t="s">
        <v>69</v>
      </c>
      <c r="D420" s="1" t="s">
        <v>12</v>
      </c>
      <c r="E420" s="1" t="s">
        <v>13</v>
      </c>
      <c r="F420" s="1" t="s">
        <v>19</v>
      </c>
      <c r="G420" s="1">
        <v>3</v>
      </c>
      <c r="H420" s="2">
        <v>574.25</v>
      </c>
      <c r="I420" s="1">
        <v>15</v>
      </c>
      <c r="J420" s="1" t="s">
        <v>20</v>
      </c>
      <c r="K420" s="2">
        <f>SalesData[[#This Row],[Quantity]]*SalesData[[#This Row],[Unit Price]]*(1-SalesData[[#This Row],[Discount (%)]]/100)</f>
        <v>1464.3374999999999</v>
      </c>
    </row>
    <row r="421" spans="1:11" x14ac:dyDescent="0.3">
      <c r="A421" s="6">
        <v>46156</v>
      </c>
      <c r="B421" s="1" t="s">
        <v>536</v>
      </c>
      <c r="C421" s="1" t="s">
        <v>106</v>
      </c>
      <c r="D421" s="1" t="s">
        <v>35</v>
      </c>
      <c r="E421" s="1" t="s">
        <v>50</v>
      </c>
      <c r="F421" s="1" t="s">
        <v>58</v>
      </c>
      <c r="G421" s="1">
        <v>3</v>
      </c>
      <c r="H421" s="2">
        <v>109.83</v>
      </c>
      <c r="I421" s="1">
        <v>10</v>
      </c>
      <c r="J421" s="1" t="s">
        <v>40</v>
      </c>
      <c r="K421" s="2">
        <f>SalesData[[#This Row],[Quantity]]*SalesData[[#This Row],[Unit Price]]*(1-SalesData[[#This Row],[Discount (%)]]/100)</f>
        <v>296.541</v>
      </c>
    </row>
    <row r="422" spans="1:11" x14ac:dyDescent="0.3">
      <c r="A422" s="6">
        <v>46100</v>
      </c>
      <c r="B422" s="1" t="s">
        <v>537</v>
      </c>
      <c r="C422" s="1" t="s">
        <v>222</v>
      </c>
      <c r="D422" s="1" t="s">
        <v>23</v>
      </c>
      <c r="E422" s="1" t="s">
        <v>50</v>
      </c>
      <c r="F422" s="1" t="s">
        <v>58</v>
      </c>
      <c r="G422" s="1">
        <v>10</v>
      </c>
      <c r="H422" s="2">
        <v>616.21</v>
      </c>
      <c r="I422" s="1">
        <v>10</v>
      </c>
      <c r="J422" s="1" t="s">
        <v>83</v>
      </c>
      <c r="K422" s="2">
        <f>SalesData[[#This Row],[Quantity]]*SalesData[[#This Row],[Unit Price]]*(1-SalesData[[#This Row],[Discount (%)]]/100)</f>
        <v>5545.89</v>
      </c>
    </row>
    <row r="423" spans="1:11" x14ac:dyDescent="0.3">
      <c r="A423" s="6">
        <v>46188</v>
      </c>
      <c r="B423" s="1" t="s">
        <v>538</v>
      </c>
      <c r="C423" s="1" t="s">
        <v>114</v>
      </c>
      <c r="D423" s="1" t="s">
        <v>35</v>
      </c>
      <c r="E423" s="1" t="s">
        <v>24</v>
      </c>
      <c r="F423" s="1" t="s">
        <v>36</v>
      </c>
      <c r="G423" s="1">
        <v>4</v>
      </c>
      <c r="H423" s="2">
        <v>898</v>
      </c>
      <c r="I423" s="1">
        <v>0</v>
      </c>
      <c r="J423" s="1" t="s">
        <v>26</v>
      </c>
      <c r="K423" s="2">
        <f>SalesData[[#This Row],[Quantity]]*SalesData[[#This Row],[Unit Price]]*(1-SalesData[[#This Row],[Discount (%)]]/100)</f>
        <v>3592</v>
      </c>
    </row>
    <row r="424" spans="1:11" x14ac:dyDescent="0.3">
      <c r="A424" s="6">
        <v>46094</v>
      </c>
      <c r="B424" s="1" t="s">
        <v>539</v>
      </c>
      <c r="C424" s="1" t="s">
        <v>166</v>
      </c>
      <c r="D424" s="1" t="s">
        <v>18</v>
      </c>
      <c r="E424" s="1" t="s">
        <v>13</v>
      </c>
      <c r="F424" s="1" t="s">
        <v>14</v>
      </c>
      <c r="G424" s="1">
        <v>4</v>
      </c>
      <c r="H424" s="2">
        <v>70.5</v>
      </c>
      <c r="I424" s="1">
        <v>10</v>
      </c>
      <c r="J424" s="1" t="s">
        <v>15</v>
      </c>
      <c r="K424" s="2">
        <f>SalesData[[#This Row],[Quantity]]*SalesData[[#This Row],[Unit Price]]*(1-SalesData[[#This Row],[Discount (%)]]/100)</f>
        <v>253.8</v>
      </c>
    </row>
    <row r="425" spans="1:11" x14ac:dyDescent="0.3">
      <c r="A425" s="6">
        <v>46191</v>
      </c>
      <c r="B425" s="1" t="s">
        <v>540</v>
      </c>
      <c r="C425" s="1" t="s">
        <v>122</v>
      </c>
      <c r="D425" s="1" t="s">
        <v>18</v>
      </c>
      <c r="E425" s="1" t="s">
        <v>13</v>
      </c>
      <c r="F425" s="1" t="s">
        <v>61</v>
      </c>
      <c r="G425" s="1">
        <v>6</v>
      </c>
      <c r="H425" s="2">
        <v>77.760000000000005</v>
      </c>
      <c r="I425" s="1">
        <v>15</v>
      </c>
      <c r="J425" s="1" t="s">
        <v>20</v>
      </c>
      <c r="K425" s="2">
        <f>SalesData[[#This Row],[Quantity]]*SalesData[[#This Row],[Unit Price]]*(1-SalesData[[#This Row],[Discount (%)]]/100)</f>
        <v>396.57600000000002</v>
      </c>
    </row>
    <row r="426" spans="1:11" x14ac:dyDescent="0.3">
      <c r="A426" s="6">
        <v>46116</v>
      </c>
      <c r="B426" s="1" t="s">
        <v>541</v>
      </c>
      <c r="C426" s="1" t="s">
        <v>323</v>
      </c>
      <c r="D426" s="1" t="s">
        <v>12</v>
      </c>
      <c r="E426" s="1" t="s">
        <v>50</v>
      </c>
      <c r="F426" s="1" t="s">
        <v>63</v>
      </c>
      <c r="G426" s="1">
        <v>1</v>
      </c>
      <c r="H426" s="2">
        <v>439.88</v>
      </c>
      <c r="I426" s="1">
        <v>5</v>
      </c>
      <c r="J426" s="1" t="s">
        <v>83</v>
      </c>
      <c r="K426" s="2">
        <f>SalesData[[#This Row],[Quantity]]*SalesData[[#This Row],[Unit Price]]*(1-SalesData[[#This Row],[Discount (%)]]/100)</f>
        <v>417.88599999999997</v>
      </c>
    </row>
    <row r="427" spans="1:11" x14ac:dyDescent="0.3">
      <c r="A427" s="6">
        <v>46099</v>
      </c>
      <c r="B427" s="1" t="s">
        <v>542</v>
      </c>
      <c r="C427" s="1" t="s">
        <v>55</v>
      </c>
      <c r="D427" s="1" t="s">
        <v>12</v>
      </c>
      <c r="E427" s="1" t="s">
        <v>13</v>
      </c>
      <c r="F427" s="1" t="s">
        <v>14</v>
      </c>
      <c r="G427" s="1">
        <v>7</v>
      </c>
      <c r="H427" s="2">
        <v>979.79</v>
      </c>
      <c r="I427" s="1">
        <v>10</v>
      </c>
      <c r="J427" s="1" t="s">
        <v>26</v>
      </c>
      <c r="K427" s="2">
        <f>SalesData[[#This Row],[Quantity]]*SalesData[[#This Row],[Unit Price]]*(1-SalesData[[#This Row],[Discount (%)]]/100)</f>
        <v>6172.6769999999997</v>
      </c>
    </row>
    <row r="428" spans="1:11" x14ac:dyDescent="0.3">
      <c r="A428" s="6">
        <v>46133</v>
      </c>
      <c r="B428" s="1" t="s">
        <v>543</v>
      </c>
      <c r="C428" s="1" t="s">
        <v>164</v>
      </c>
      <c r="D428" s="1" t="s">
        <v>18</v>
      </c>
      <c r="E428" s="1" t="s">
        <v>13</v>
      </c>
      <c r="F428" s="1" t="s">
        <v>19</v>
      </c>
      <c r="G428" s="1">
        <v>7</v>
      </c>
      <c r="H428" s="2">
        <v>376.46</v>
      </c>
      <c r="I428" s="1">
        <v>5</v>
      </c>
      <c r="J428" s="1" t="s">
        <v>76</v>
      </c>
      <c r="K428" s="2">
        <f>SalesData[[#This Row],[Quantity]]*SalesData[[#This Row],[Unit Price]]*(1-SalesData[[#This Row],[Discount (%)]]/100)</f>
        <v>2503.4589999999998</v>
      </c>
    </row>
    <row r="429" spans="1:11" x14ac:dyDescent="0.3">
      <c r="A429" s="6">
        <v>46114</v>
      </c>
      <c r="B429" s="1" t="s">
        <v>544</v>
      </c>
      <c r="C429" s="1" t="s">
        <v>60</v>
      </c>
      <c r="D429" s="1" t="s">
        <v>18</v>
      </c>
      <c r="E429" s="1" t="s">
        <v>24</v>
      </c>
      <c r="F429" s="1" t="s">
        <v>43</v>
      </c>
      <c r="G429" s="1">
        <v>7</v>
      </c>
      <c r="H429" s="2">
        <v>964.78</v>
      </c>
      <c r="I429" s="1">
        <v>0</v>
      </c>
      <c r="J429" s="1" t="s">
        <v>20</v>
      </c>
      <c r="K429" s="2">
        <f>SalesData[[#This Row],[Quantity]]*SalesData[[#This Row],[Unit Price]]*(1-SalesData[[#This Row],[Discount (%)]]/100)</f>
        <v>6753.46</v>
      </c>
    </row>
    <row r="430" spans="1:11" x14ac:dyDescent="0.3">
      <c r="A430" s="6">
        <v>46165</v>
      </c>
      <c r="B430" s="1" t="s">
        <v>545</v>
      </c>
      <c r="C430" s="1" t="s">
        <v>11</v>
      </c>
      <c r="D430" s="1" t="s">
        <v>23</v>
      </c>
      <c r="E430" s="1" t="s">
        <v>13</v>
      </c>
      <c r="F430" s="1" t="s">
        <v>19</v>
      </c>
      <c r="G430" s="1">
        <v>6</v>
      </c>
      <c r="H430" s="2">
        <v>271.23</v>
      </c>
      <c r="I430" s="1">
        <v>0</v>
      </c>
      <c r="J430" s="1" t="s">
        <v>26</v>
      </c>
      <c r="K430" s="2">
        <f>SalesData[[#This Row],[Quantity]]*SalesData[[#This Row],[Unit Price]]*(1-SalesData[[#This Row],[Discount (%)]]/100)</f>
        <v>1627.38</v>
      </c>
    </row>
    <row r="431" spans="1:11" x14ac:dyDescent="0.3">
      <c r="A431" s="6">
        <v>46153</v>
      </c>
      <c r="B431" s="1" t="s">
        <v>546</v>
      </c>
      <c r="C431" s="1" t="s">
        <v>359</v>
      </c>
      <c r="D431" s="1" t="s">
        <v>23</v>
      </c>
      <c r="E431" s="1" t="s">
        <v>50</v>
      </c>
      <c r="F431" s="1" t="s">
        <v>63</v>
      </c>
      <c r="G431" s="1">
        <v>3</v>
      </c>
      <c r="H431" s="2">
        <v>1192.1099999999999</v>
      </c>
      <c r="I431" s="1">
        <v>15</v>
      </c>
      <c r="J431" s="1" t="s">
        <v>20</v>
      </c>
      <c r="K431" s="2">
        <f>SalesData[[#This Row],[Quantity]]*SalesData[[#This Row],[Unit Price]]*(1-SalesData[[#This Row],[Discount (%)]]/100)</f>
        <v>3039.8804999999998</v>
      </c>
    </row>
    <row r="432" spans="1:11" x14ac:dyDescent="0.3">
      <c r="A432" s="6">
        <v>46194</v>
      </c>
      <c r="B432" s="1" t="s">
        <v>547</v>
      </c>
      <c r="C432" s="1" t="s">
        <v>89</v>
      </c>
      <c r="D432" s="1" t="s">
        <v>23</v>
      </c>
      <c r="E432" s="1" t="s">
        <v>13</v>
      </c>
      <c r="F432" s="1" t="s">
        <v>19</v>
      </c>
      <c r="G432" s="1">
        <v>2</v>
      </c>
      <c r="H432" s="2">
        <v>689.54</v>
      </c>
      <c r="I432" s="1">
        <v>5</v>
      </c>
      <c r="J432" s="1" t="s">
        <v>15</v>
      </c>
      <c r="K432" s="2">
        <f>SalesData[[#This Row],[Quantity]]*SalesData[[#This Row],[Unit Price]]*(1-SalesData[[#This Row],[Discount (%)]]/100)</f>
        <v>1310.126</v>
      </c>
    </row>
    <row r="433" spans="1:11" x14ac:dyDescent="0.3">
      <c r="A433" s="6">
        <v>46206</v>
      </c>
      <c r="B433" s="1" t="s">
        <v>548</v>
      </c>
      <c r="C433" s="1" t="s">
        <v>89</v>
      </c>
      <c r="D433" s="1" t="s">
        <v>23</v>
      </c>
      <c r="E433" s="1" t="s">
        <v>24</v>
      </c>
      <c r="F433" s="1" t="s">
        <v>25</v>
      </c>
      <c r="G433" s="1">
        <v>4</v>
      </c>
      <c r="H433" s="2">
        <v>1082.9000000000001</v>
      </c>
      <c r="I433" s="1">
        <v>15</v>
      </c>
      <c r="J433" s="1" t="s">
        <v>20</v>
      </c>
      <c r="K433" s="2">
        <f>SalesData[[#This Row],[Quantity]]*SalesData[[#This Row],[Unit Price]]*(1-SalesData[[#This Row],[Discount (%)]]/100)</f>
        <v>3681.86</v>
      </c>
    </row>
    <row r="434" spans="1:11" x14ac:dyDescent="0.3">
      <c r="A434" s="6">
        <v>46141</v>
      </c>
      <c r="B434" s="1" t="s">
        <v>549</v>
      </c>
      <c r="C434" s="1" t="s">
        <v>135</v>
      </c>
      <c r="D434" s="1" t="s">
        <v>18</v>
      </c>
      <c r="E434" s="1" t="s">
        <v>13</v>
      </c>
      <c r="F434" s="1" t="s">
        <v>61</v>
      </c>
      <c r="G434" s="1">
        <v>2</v>
      </c>
      <c r="H434" s="2">
        <v>1073.17</v>
      </c>
      <c r="I434" s="1">
        <v>5</v>
      </c>
      <c r="J434" s="1" t="s">
        <v>20</v>
      </c>
      <c r="K434" s="2">
        <f>SalesData[[#This Row],[Quantity]]*SalesData[[#This Row],[Unit Price]]*(1-SalesData[[#This Row],[Discount (%)]]/100)</f>
        <v>2039.0230000000001</v>
      </c>
    </row>
    <row r="435" spans="1:11" x14ac:dyDescent="0.3">
      <c r="A435" s="6">
        <v>46096</v>
      </c>
      <c r="B435" s="1" t="s">
        <v>550</v>
      </c>
      <c r="C435" s="1" t="s">
        <v>187</v>
      </c>
      <c r="D435" s="1" t="s">
        <v>18</v>
      </c>
      <c r="E435" s="1" t="s">
        <v>24</v>
      </c>
      <c r="F435" s="1" t="s">
        <v>36</v>
      </c>
      <c r="G435" s="1">
        <v>5</v>
      </c>
      <c r="H435" s="2">
        <v>554.66999999999996</v>
      </c>
      <c r="I435" s="1">
        <v>15</v>
      </c>
      <c r="J435" s="1" t="s">
        <v>26</v>
      </c>
      <c r="K435" s="2">
        <f>SalesData[[#This Row],[Quantity]]*SalesData[[#This Row],[Unit Price]]*(1-SalesData[[#This Row],[Discount (%)]]/100)</f>
        <v>2357.3474999999999</v>
      </c>
    </row>
    <row r="436" spans="1:11" x14ac:dyDescent="0.3">
      <c r="A436" s="6">
        <v>46190</v>
      </c>
      <c r="B436" s="1" t="s">
        <v>551</v>
      </c>
      <c r="C436" s="1" t="s">
        <v>289</v>
      </c>
      <c r="D436" s="1" t="s">
        <v>12</v>
      </c>
      <c r="E436" s="1" t="s">
        <v>50</v>
      </c>
      <c r="F436" s="1" t="s">
        <v>51</v>
      </c>
      <c r="G436" s="1">
        <v>10</v>
      </c>
      <c r="H436" s="2">
        <v>620.16999999999996</v>
      </c>
      <c r="I436" s="1">
        <v>15</v>
      </c>
      <c r="J436" s="1" t="s">
        <v>15</v>
      </c>
      <c r="K436" s="2">
        <f>SalesData[[#This Row],[Quantity]]*SalesData[[#This Row],[Unit Price]]*(1-SalesData[[#This Row],[Discount (%)]]/100)</f>
        <v>5271.4449999999997</v>
      </c>
    </row>
    <row r="437" spans="1:11" x14ac:dyDescent="0.3">
      <c r="A437" s="6">
        <v>46072</v>
      </c>
      <c r="B437" s="1" t="s">
        <v>552</v>
      </c>
      <c r="C437" s="1" t="s">
        <v>86</v>
      </c>
      <c r="D437" s="1" t="s">
        <v>18</v>
      </c>
      <c r="E437" s="1" t="s">
        <v>50</v>
      </c>
      <c r="F437" s="1" t="s">
        <v>63</v>
      </c>
      <c r="G437" s="1">
        <v>5</v>
      </c>
      <c r="H437" s="2">
        <v>992.8</v>
      </c>
      <c r="I437" s="1">
        <v>15</v>
      </c>
      <c r="J437" s="1" t="s">
        <v>76</v>
      </c>
      <c r="K437" s="2">
        <f>SalesData[[#This Row],[Quantity]]*SalesData[[#This Row],[Unit Price]]*(1-SalesData[[#This Row],[Discount (%)]]/100)</f>
        <v>4219.3999999999996</v>
      </c>
    </row>
    <row r="438" spans="1:11" x14ac:dyDescent="0.3">
      <c r="A438" s="6">
        <v>46028</v>
      </c>
      <c r="B438" s="1" t="s">
        <v>553</v>
      </c>
      <c r="C438" s="1" t="s">
        <v>222</v>
      </c>
      <c r="D438" s="1" t="s">
        <v>23</v>
      </c>
      <c r="E438" s="1" t="s">
        <v>29</v>
      </c>
      <c r="F438" s="1" t="s">
        <v>65</v>
      </c>
      <c r="G438" s="1">
        <v>1</v>
      </c>
      <c r="H438" s="2">
        <v>390.6</v>
      </c>
      <c r="I438" s="1">
        <v>0</v>
      </c>
      <c r="J438" s="1" t="s">
        <v>20</v>
      </c>
      <c r="K438" s="2">
        <f>SalesData[[#This Row],[Quantity]]*SalesData[[#This Row],[Unit Price]]*(1-SalesData[[#This Row],[Discount (%)]]/100)</f>
        <v>390.6</v>
      </c>
    </row>
    <row r="439" spans="1:11" x14ac:dyDescent="0.3">
      <c r="A439" s="6">
        <v>46219</v>
      </c>
      <c r="B439" s="1" t="s">
        <v>554</v>
      </c>
      <c r="C439" s="1" t="s">
        <v>202</v>
      </c>
      <c r="D439" s="1" t="s">
        <v>23</v>
      </c>
      <c r="E439" s="1" t="s">
        <v>24</v>
      </c>
      <c r="F439" s="1" t="s">
        <v>43</v>
      </c>
      <c r="G439" s="1">
        <v>10</v>
      </c>
      <c r="H439" s="2">
        <v>335.25</v>
      </c>
      <c r="I439" s="1">
        <v>0</v>
      </c>
      <c r="J439" s="1" t="s">
        <v>20</v>
      </c>
      <c r="K439" s="2">
        <f>SalesData[[#This Row],[Quantity]]*SalesData[[#This Row],[Unit Price]]*(1-SalesData[[#This Row],[Discount (%)]]/100)</f>
        <v>3352.5</v>
      </c>
    </row>
    <row r="440" spans="1:11" x14ac:dyDescent="0.3">
      <c r="A440" s="6">
        <v>46183</v>
      </c>
      <c r="B440" s="1" t="s">
        <v>555</v>
      </c>
      <c r="C440" s="1" t="s">
        <v>247</v>
      </c>
      <c r="D440" s="1" t="s">
        <v>18</v>
      </c>
      <c r="E440" s="1" t="s">
        <v>13</v>
      </c>
      <c r="F440" s="1" t="s">
        <v>14</v>
      </c>
      <c r="G440" s="1">
        <v>10</v>
      </c>
      <c r="H440" s="2">
        <v>942.75</v>
      </c>
      <c r="I440" s="1">
        <v>15</v>
      </c>
      <c r="J440" s="1" t="s">
        <v>40</v>
      </c>
      <c r="K440" s="2">
        <f>SalesData[[#This Row],[Quantity]]*SalesData[[#This Row],[Unit Price]]*(1-SalesData[[#This Row],[Discount (%)]]/100)</f>
        <v>8013.375</v>
      </c>
    </row>
    <row r="441" spans="1:11" x14ac:dyDescent="0.3">
      <c r="A441" s="6">
        <v>46142</v>
      </c>
      <c r="B441" s="1" t="s">
        <v>556</v>
      </c>
      <c r="C441" s="1" t="s">
        <v>78</v>
      </c>
      <c r="D441" s="1" t="s">
        <v>18</v>
      </c>
      <c r="E441" s="1" t="s">
        <v>50</v>
      </c>
      <c r="F441" s="1" t="s">
        <v>58</v>
      </c>
      <c r="G441" s="1">
        <v>10</v>
      </c>
      <c r="H441" s="2">
        <v>389.47</v>
      </c>
      <c r="I441" s="1">
        <v>0</v>
      </c>
      <c r="J441" s="1" t="s">
        <v>20</v>
      </c>
      <c r="K441" s="2">
        <f>SalesData[[#This Row],[Quantity]]*SalesData[[#This Row],[Unit Price]]*(1-SalesData[[#This Row],[Discount (%)]]/100)</f>
        <v>3894.7000000000003</v>
      </c>
    </row>
    <row r="442" spans="1:11" x14ac:dyDescent="0.3">
      <c r="A442" s="6">
        <v>46051</v>
      </c>
      <c r="B442" s="1" t="s">
        <v>557</v>
      </c>
      <c r="C442" s="1" t="s">
        <v>96</v>
      </c>
      <c r="D442" s="1" t="s">
        <v>12</v>
      </c>
      <c r="E442" s="1" t="s">
        <v>29</v>
      </c>
      <c r="F442" s="1" t="s">
        <v>39</v>
      </c>
      <c r="G442" s="1">
        <v>6</v>
      </c>
      <c r="H442" s="2">
        <v>237.61</v>
      </c>
      <c r="I442" s="1">
        <v>0</v>
      </c>
      <c r="J442" s="1" t="s">
        <v>76</v>
      </c>
      <c r="K442" s="2">
        <f>SalesData[[#This Row],[Quantity]]*SalesData[[#This Row],[Unit Price]]*(1-SalesData[[#This Row],[Discount (%)]]/100)</f>
        <v>1425.66</v>
      </c>
    </row>
    <row r="443" spans="1:11" x14ac:dyDescent="0.3">
      <c r="A443" s="6">
        <v>46174</v>
      </c>
      <c r="B443" s="1" t="s">
        <v>558</v>
      </c>
      <c r="C443" s="1" t="s">
        <v>141</v>
      </c>
      <c r="D443" s="1" t="s">
        <v>12</v>
      </c>
      <c r="E443" s="1" t="s">
        <v>13</v>
      </c>
      <c r="F443" s="1" t="s">
        <v>19</v>
      </c>
      <c r="G443" s="1">
        <v>6</v>
      </c>
      <c r="H443" s="2">
        <v>524.63</v>
      </c>
      <c r="I443" s="1">
        <v>10</v>
      </c>
      <c r="J443" s="1" t="s">
        <v>83</v>
      </c>
      <c r="K443" s="2">
        <f>SalesData[[#This Row],[Quantity]]*SalesData[[#This Row],[Unit Price]]*(1-SalesData[[#This Row],[Discount (%)]]/100)</f>
        <v>2833.002</v>
      </c>
    </row>
    <row r="444" spans="1:11" x14ac:dyDescent="0.3">
      <c r="A444" s="6">
        <v>46220</v>
      </c>
      <c r="B444" s="1" t="s">
        <v>559</v>
      </c>
      <c r="C444" s="1" t="s">
        <v>315</v>
      </c>
      <c r="D444" s="1" t="s">
        <v>12</v>
      </c>
      <c r="E444" s="1" t="s">
        <v>29</v>
      </c>
      <c r="F444" s="1" t="s">
        <v>65</v>
      </c>
      <c r="G444" s="1">
        <v>3</v>
      </c>
      <c r="H444" s="2">
        <v>563.5</v>
      </c>
      <c r="I444" s="1">
        <v>5</v>
      </c>
      <c r="J444" s="1" t="s">
        <v>40</v>
      </c>
      <c r="K444" s="2">
        <f>SalesData[[#This Row],[Quantity]]*SalesData[[#This Row],[Unit Price]]*(1-SalesData[[#This Row],[Discount (%)]]/100)</f>
        <v>1605.9749999999999</v>
      </c>
    </row>
    <row r="445" spans="1:11" x14ac:dyDescent="0.3">
      <c r="A445" s="6">
        <v>46127</v>
      </c>
      <c r="B445" s="1" t="s">
        <v>560</v>
      </c>
      <c r="C445" s="1" t="s">
        <v>278</v>
      </c>
      <c r="D445" s="1" t="s">
        <v>12</v>
      </c>
      <c r="E445" s="1" t="s">
        <v>50</v>
      </c>
      <c r="F445" s="1" t="s">
        <v>72</v>
      </c>
      <c r="G445" s="1">
        <v>8</v>
      </c>
      <c r="H445" s="2">
        <v>853.56</v>
      </c>
      <c r="I445" s="1">
        <v>15</v>
      </c>
      <c r="J445" s="1" t="s">
        <v>20</v>
      </c>
      <c r="K445" s="2">
        <f>SalesData[[#This Row],[Quantity]]*SalesData[[#This Row],[Unit Price]]*(1-SalesData[[#This Row],[Discount (%)]]/100)</f>
        <v>5804.2079999999996</v>
      </c>
    </row>
    <row r="446" spans="1:11" x14ac:dyDescent="0.3">
      <c r="A446" s="6">
        <v>46231</v>
      </c>
      <c r="B446" s="1" t="s">
        <v>561</v>
      </c>
      <c r="C446" s="1" t="s">
        <v>219</v>
      </c>
      <c r="D446" s="1" t="s">
        <v>23</v>
      </c>
      <c r="E446" s="1" t="s">
        <v>29</v>
      </c>
      <c r="F446" s="1" t="s">
        <v>39</v>
      </c>
      <c r="G446" s="1">
        <v>9</v>
      </c>
      <c r="H446" s="2">
        <v>890.13</v>
      </c>
      <c r="I446" s="1">
        <v>10</v>
      </c>
      <c r="J446" s="1" t="s">
        <v>83</v>
      </c>
      <c r="K446" s="2">
        <f>SalesData[[#This Row],[Quantity]]*SalesData[[#This Row],[Unit Price]]*(1-SalesData[[#This Row],[Discount (%)]]/100)</f>
        <v>7210.0529999999999</v>
      </c>
    </row>
    <row r="447" spans="1:11" x14ac:dyDescent="0.3">
      <c r="A447" s="6">
        <v>46210</v>
      </c>
      <c r="B447" s="1" t="s">
        <v>562</v>
      </c>
      <c r="C447" s="1" t="s">
        <v>147</v>
      </c>
      <c r="D447" s="1" t="s">
        <v>23</v>
      </c>
      <c r="E447" s="1" t="s">
        <v>24</v>
      </c>
      <c r="F447" s="1" t="s">
        <v>43</v>
      </c>
      <c r="G447" s="1">
        <v>1</v>
      </c>
      <c r="H447" s="2">
        <v>1027.1199999999999</v>
      </c>
      <c r="I447" s="1">
        <v>0</v>
      </c>
      <c r="J447" s="1" t="s">
        <v>40</v>
      </c>
      <c r="K447" s="2">
        <f>SalesData[[#This Row],[Quantity]]*SalesData[[#This Row],[Unit Price]]*(1-SalesData[[#This Row],[Discount (%)]]/100)</f>
        <v>1027.1199999999999</v>
      </c>
    </row>
    <row r="448" spans="1:11" x14ac:dyDescent="0.3">
      <c r="A448" s="6">
        <v>46145</v>
      </c>
      <c r="B448" s="1" t="s">
        <v>563</v>
      </c>
      <c r="C448" s="1" t="s">
        <v>141</v>
      </c>
      <c r="D448" s="1" t="s">
        <v>12</v>
      </c>
      <c r="E448" s="1" t="s">
        <v>29</v>
      </c>
      <c r="F448" s="1" t="s">
        <v>30</v>
      </c>
      <c r="G448" s="1">
        <v>8</v>
      </c>
      <c r="H448" s="2">
        <v>575.24</v>
      </c>
      <c r="I448" s="1">
        <v>15</v>
      </c>
      <c r="J448" s="1" t="s">
        <v>26</v>
      </c>
      <c r="K448" s="2">
        <f>SalesData[[#This Row],[Quantity]]*SalesData[[#This Row],[Unit Price]]*(1-SalesData[[#This Row],[Discount (%)]]/100)</f>
        <v>3911.6320000000001</v>
      </c>
    </row>
    <row r="449" spans="1:11" x14ac:dyDescent="0.3">
      <c r="A449" s="6">
        <v>46147</v>
      </c>
      <c r="B449" s="1" t="s">
        <v>564</v>
      </c>
      <c r="C449" s="1" t="s">
        <v>337</v>
      </c>
      <c r="D449" s="1" t="s">
        <v>18</v>
      </c>
      <c r="E449" s="1" t="s">
        <v>50</v>
      </c>
      <c r="F449" s="1" t="s">
        <v>51</v>
      </c>
      <c r="G449" s="1">
        <v>1</v>
      </c>
      <c r="H449" s="2">
        <v>1002.5</v>
      </c>
      <c r="I449" s="1">
        <v>10</v>
      </c>
      <c r="J449" s="1" t="s">
        <v>76</v>
      </c>
      <c r="K449" s="2">
        <f>SalesData[[#This Row],[Quantity]]*SalesData[[#This Row],[Unit Price]]*(1-SalesData[[#This Row],[Discount (%)]]/100)</f>
        <v>902.25</v>
      </c>
    </row>
    <row r="450" spans="1:11" x14ac:dyDescent="0.3">
      <c r="A450" s="6">
        <v>46147</v>
      </c>
      <c r="B450" s="1" t="s">
        <v>565</v>
      </c>
      <c r="C450" s="1" t="s">
        <v>232</v>
      </c>
      <c r="D450" s="1" t="s">
        <v>12</v>
      </c>
      <c r="E450" s="1" t="s">
        <v>50</v>
      </c>
      <c r="F450" s="1" t="s">
        <v>58</v>
      </c>
      <c r="G450" s="1">
        <v>10</v>
      </c>
      <c r="H450" s="2">
        <v>852.3</v>
      </c>
      <c r="I450" s="1">
        <v>10</v>
      </c>
      <c r="J450" s="1" t="s">
        <v>76</v>
      </c>
      <c r="K450" s="2">
        <f>SalesData[[#This Row],[Quantity]]*SalesData[[#This Row],[Unit Price]]*(1-SalesData[[#This Row],[Discount (%)]]/100)</f>
        <v>7670.7</v>
      </c>
    </row>
    <row r="451" spans="1:11" x14ac:dyDescent="0.3">
      <c r="A451" s="6">
        <v>46146</v>
      </c>
      <c r="B451" s="1" t="s">
        <v>566</v>
      </c>
      <c r="C451" s="1" t="s">
        <v>98</v>
      </c>
      <c r="D451" s="1" t="s">
        <v>12</v>
      </c>
      <c r="E451" s="1" t="s">
        <v>29</v>
      </c>
      <c r="F451" s="1" t="s">
        <v>39</v>
      </c>
      <c r="G451" s="1">
        <v>5</v>
      </c>
      <c r="H451" s="2">
        <v>1171.3800000000001</v>
      </c>
      <c r="I451" s="1">
        <v>15</v>
      </c>
      <c r="J451" s="1" t="s">
        <v>83</v>
      </c>
      <c r="K451" s="2">
        <f>SalesData[[#This Row],[Quantity]]*SalesData[[#This Row],[Unit Price]]*(1-SalesData[[#This Row],[Discount (%)]]/100)</f>
        <v>4978.3650000000007</v>
      </c>
    </row>
    <row r="452" spans="1:11" x14ac:dyDescent="0.3">
      <c r="A452" s="6">
        <v>46223</v>
      </c>
      <c r="B452" s="1" t="s">
        <v>567</v>
      </c>
      <c r="C452" s="1" t="s">
        <v>47</v>
      </c>
      <c r="D452" s="1" t="s">
        <v>18</v>
      </c>
      <c r="E452" s="1" t="s">
        <v>13</v>
      </c>
      <c r="F452" s="1" t="s">
        <v>19</v>
      </c>
      <c r="G452" s="1">
        <v>1</v>
      </c>
      <c r="H452" s="2">
        <v>285.45999999999998</v>
      </c>
      <c r="I452" s="1">
        <v>15</v>
      </c>
      <c r="J452" s="1" t="s">
        <v>15</v>
      </c>
      <c r="K452" s="2">
        <f>SalesData[[#This Row],[Quantity]]*SalesData[[#This Row],[Unit Price]]*(1-SalesData[[#This Row],[Discount (%)]]/100)</f>
        <v>242.64099999999996</v>
      </c>
    </row>
    <row r="453" spans="1:11" x14ac:dyDescent="0.3">
      <c r="A453" s="6">
        <v>46146</v>
      </c>
      <c r="B453" s="1" t="s">
        <v>568</v>
      </c>
      <c r="C453" s="1" t="s">
        <v>268</v>
      </c>
      <c r="D453" s="1" t="s">
        <v>23</v>
      </c>
      <c r="E453" s="1" t="s">
        <v>50</v>
      </c>
      <c r="F453" s="1" t="s">
        <v>72</v>
      </c>
      <c r="G453" s="1">
        <v>8</v>
      </c>
      <c r="H453" s="2">
        <v>706.4</v>
      </c>
      <c r="I453" s="1">
        <v>15</v>
      </c>
      <c r="J453" s="1" t="s">
        <v>26</v>
      </c>
      <c r="K453" s="2">
        <f>SalesData[[#This Row],[Quantity]]*SalesData[[#This Row],[Unit Price]]*(1-SalesData[[#This Row],[Discount (%)]]/100)</f>
        <v>4803.5199999999995</v>
      </c>
    </row>
    <row r="454" spans="1:11" x14ac:dyDescent="0.3">
      <c r="A454" s="6">
        <v>46138</v>
      </c>
      <c r="B454" s="1" t="s">
        <v>569</v>
      </c>
      <c r="C454" s="1" t="s">
        <v>71</v>
      </c>
      <c r="D454" s="1" t="s">
        <v>12</v>
      </c>
      <c r="E454" s="1" t="s">
        <v>13</v>
      </c>
      <c r="F454" s="1" t="s">
        <v>19</v>
      </c>
      <c r="G454" s="1">
        <v>7</v>
      </c>
      <c r="H454" s="2">
        <v>565.63</v>
      </c>
      <c r="I454" s="1">
        <v>10</v>
      </c>
      <c r="J454" s="1" t="s">
        <v>76</v>
      </c>
      <c r="K454" s="2">
        <f>SalesData[[#This Row],[Quantity]]*SalesData[[#This Row],[Unit Price]]*(1-SalesData[[#This Row],[Discount (%)]]/100)</f>
        <v>3563.4690000000001</v>
      </c>
    </row>
    <row r="455" spans="1:11" x14ac:dyDescent="0.3">
      <c r="A455" s="6">
        <v>46065</v>
      </c>
      <c r="B455" s="1" t="s">
        <v>570</v>
      </c>
      <c r="C455" s="1" t="s">
        <v>49</v>
      </c>
      <c r="D455" s="1" t="s">
        <v>18</v>
      </c>
      <c r="E455" s="1" t="s">
        <v>13</v>
      </c>
      <c r="F455" s="1" t="s">
        <v>61</v>
      </c>
      <c r="G455" s="1">
        <v>9</v>
      </c>
      <c r="H455" s="2">
        <v>922.52</v>
      </c>
      <c r="I455" s="1">
        <v>0</v>
      </c>
      <c r="J455" s="1" t="s">
        <v>40</v>
      </c>
      <c r="K455" s="2">
        <f>SalesData[[#This Row],[Quantity]]*SalesData[[#This Row],[Unit Price]]*(1-SalesData[[#This Row],[Discount (%)]]/100)</f>
        <v>8302.68</v>
      </c>
    </row>
    <row r="456" spans="1:11" x14ac:dyDescent="0.3">
      <c r="A456" s="6">
        <v>46077</v>
      </c>
      <c r="B456" s="1" t="s">
        <v>571</v>
      </c>
      <c r="C456" s="1" t="s">
        <v>289</v>
      </c>
      <c r="D456" s="1" t="s">
        <v>35</v>
      </c>
      <c r="E456" s="1" t="s">
        <v>13</v>
      </c>
      <c r="F456" s="1" t="s">
        <v>19</v>
      </c>
      <c r="G456" s="1">
        <v>5</v>
      </c>
      <c r="H456" s="2">
        <v>364.96</v>
      </c>
      <c r="I456" s="1">
        <v>15</v>
      </c>
      <c r="J456" s="1" t="s">
        <v>40</v>
      </c>
      <c r="K456" s="2">
        <f>SalesData[[#This Row],[Quantity]]*SalesData[[#This Row],[Unit Price]]*(1-SalesData[[#This Row],[Discount (%)]]/100)</f>
        <v>1551.08</v>
      </c>
    </row>
    <row r="457" spans="1:11" x14ac:dyDescent="0.3">
      <c r="A457" s="6">
        <v>46042</v>
      </c>
      <c r="B457" s="1" t="s">
        <v>572</v>
      </c>
      <c r="C457" s="1" t="s">
        <v>321</v>
      </c>
      <c r="D457" s="1" t="s">
        <v>23</v>
      </c>
      <c r="E457" s="1" t="s">
        <v>13</v>
      </c>
      <c r="F457" s="1" t="s">
        <v>19</v>
      </c>
      <c r="G457" s="1">
        <v>6</v>
      </c>
      <c r="H457" s="2">
        <v>410.15</v>
      </c>
      <c r="I457" s="1">
        <v>5</v>
      </c>
      <c r="J457" s="1" t="s">
        <v>26</v>
      </c>
      <c r="K457" s="2">
        <f>SalesData[[#This Row],[Quantity]]*SalesData[[#This Row],[Unit Price]]*(1-SalesData[[#This Row],[Discount (%)]]/100)</f>
        <v>2337.8549999999996</v>
      </c>
    </row>
    <row r="458" spans="1:11" x14ac:dyDescent="0.3">
      <c r="A458" s="6">
        <v>46051</v>
      </c>
      <c r="B458" s="1" t="s">
        <v>573</v>
      </c>
      <c r="C458" s="1" t="s">
        <v>98</v>
      </c>
      <c r="D458" s="1" t="s">
        <v>35</v>
      </c>
      <c r="E458" s="1" t="s">
        <v>13</v>
      </c>
      <c r="F458" s="1" t="s">
        <v>14</v>
      </c>
      <c r="G458" s="1">
        <v>9</v>
      </c>
      <c r="H458" s="2">
        <v>750.04</v>
      </c>
      <c r="I458" s="1">
        <v>10</v>
      </c>
      <c r="J458" s="1" t="s">
        <v>15</v>
      </c>
      <c r="K458" s="2">
        <f>SalesData[[#This Row],[Quantity]]*SalesData[[#This Row],[Unit Price]]*(1-SalesData[[#This Row],[Discount (%)]]/100)</f>
        <v>6075.3239999999996</v>
      </c>
    </row>
    <row r="459" spans="1:11" x14ac:dyDescent="0.3">
      <c r="A459" s="6">
        <v>46227</v>
      </c>
      <c r="B459" s="1" t="s">
        <v>574</v>
      </c>
      <c r="C459" s="1" t="s">
        <v>147</v>
      </c>
      <c r="D459" s="1" t="s">
        <v>18</v>
      </c>
      <c r="E459" s="1" t="s">
        <v>29</v>
      </c>
      <c r="F459" s="1" t="s">
        <v>30</v>
      </c>
      <c r="G459" s="1">
        <v>5</v>
      </c>
      <c r="H459" s="2">
        <v>25.14</v>
      </c>
      <c r="I459" s="1">
        <v>5</v>
      </c>
      <c r="J459" s="1" t="s">
        <v>76</v>
      </c>
      <c r="K459" s="2">
        <f>SalesData[[#This Row],[Quantity]]*SalesData[[#This Row],[Unit Price]]*(1-SalesData[[#This Row],[Discount (%)]]/100)</f>
        <v>119.41499999999999</v>
      </c>
    </row>
    <row r="460" spans="1:11" x14ac:dyDescent="0.3">
      <c r="A460" s="6">
        <v>46088</v>
      </c>
      <c r="B460" s="1" t="s">
        <v>575</v>
      </c>
      <c r="C460" s="1" t="s">
        <v>149</v>
      </c>
      <c r="D460" s="1" t="s">
        <v>35</v>
      </c>
      <c r="E460" s="1" t="s">
        <v>13</v>
      </c>
      <c r="F460" s="1" t="s">
        <v>19</v>
      </c>
      <c r="G460" s="1">
        <v>9</v>
      </c>
      <c r="H460" s="2">
        <v>475.96</v>
      </c>
      <c r="I460" s="1">
        <v>10</v>
      </c>
      <c r="J460" s="1" t="s">
        <v>76</v>
      </c>
      <c r="K460" s="2">
        <f>SalesData[[#This Row],[Quantity]]*SalesData[[#This Row],[Unit Price]]*(1-SalesData[[#This Row],[Discount (%)]]/100)</f>
        <v>3855.2759999999994</v>
      </c>
    </row>
    <row r="461" spans="1:11" x14ac:dyDescent="0.3">
      <c r="A461" s="6">
        <v>46135</v>
      </c>
      <c r="B461" s="1" t="s">
        <v>576</v>
      </c>
      <c r="C461" s="1" t="s">
        <v>295</v>
      </c>
      <c r="D461" s="1" t="s">
        <v>18</v>
      </c>
      <c r="E461" s="1" t="s">
        <v>24</v>
      </c>
      <c r="F461" s="1" t="s">
        <v>25</v>
      </c>
      <c r="G461" s="1">
        <v>5</v>
      </c>
      <c r="H461" s="2">
        <v>400.07</v>
      </c>
      <c r="I461" s="1">
        <v>5</v>
      </c>
      <c r="J461" s="1" t="s">
        <v>76</v>
      </c>
      <c r="K461" s="2">
        <f>SalesData[[#This Row],[Quantity]]*SalesData[[#This Row],[Unit Price]]*(1-SalesData[[#This Row],[Discount (%)]]/100)</f>
        <v>1900.3324999999998</v>
      </c>
    </row>
    <row r="462" spans="1:11" x14ac:dyDescent="0.3">
      <c r="A462" s="6">
        <v>46178</v>
      </c>
      <c r="B462" s="1" t="s">
        <v>577</v>
      </c>
      <c r="C462" s="1" t="s">
        <v>93</v>
      </c>
      <c r="D462" s="1" t="s">
        <v>18</v>
      </c>
      <c r="E462" s="1" t="s">
        <v>24</v>
      </c>
      <c r="F462" s="1" t="s">
        <v>25</v>
      </c>
      <c r="G462" s="1">
        <v>1</v>
      </c>
      <c r="H462" s="2">
        <v>547.61</v>
      </c>
      <c r="I462" s="1">
        <v>5</v>
      </c>
      <c r="J462" s="1" t="s">
        <v>83</v>
      </c>
      <c r="K462" s="2">
        <f>SalesData[[#This Row],[Quantity]]*SalesData[[#This Row],[Unit Price]]*(1-SalesData[[#This Row],[Discount (%)]]/100)</f>
        <v>520.22950000000003</v>
      </c>
    </row>
    <row r="463" spans="1:11" x14ac:dyDescent="0.3">
      <c r="A463" s="6">
        <v>46163</v>
      </c>
      <c r="B463" s="1" t="s">
        <v>578</v>
      </c>
      <c r="C463" s="1" t="s">
        <v>11</v>
      </c>
      <c r="D463" s="1" t="s">
        <v>12</v>
      </c>
      <c r="E463" s="1" t="s">
        <v>24</v>
      </c>
      <c r="F463" s="1" t="s">
        <v>25</v>
      </c>
      <c r="G463" s="1">
        <v>8</v>
      </c>
      <c r="H463" s="2">
        <v>765.3</v>
      </c>
      <c r="I463" s="1">
        <v>15</v>
      </c>
      <c r="J463" s="1" t="s">
        <v>83</v>
      </c>
      <c r="K463" s="2">
        <f>SalesData[[#This Row],[Quantity]]*SalesData[[#This Row],[Unit Price]]*(1-SalesData[[#This Row],[Discount (%)]]/100)</f>
        <v>5204.04</v>
      </c>
    </row>
    <row r="464" spans="1:11" x14ac:dyDescent="0.3">
      <c r="A464" s="6">
        <v>46171</v>
      </c>
      <c r="B464" s="1" t="s">
        <v>579</v>
      </c>
      <c r="C464" s="1" t="s">
        <v>321</v>
      </c>
      <c r="D464" s="1" t="s">
        <v>23</v>
      </c>
      <c r="E464" s="1" t="s">
        <v>13</v>
      </c>
      <c r="F464" s="1" t="s">
        <v>19</v>
      </c>
      <c r="G464" s="1">
        <v>6</v>
      </c>
      <c r="H464" s="2">
        <v>894.97</v>
      </c>
      <c r="I464" s="1">
        <v>10</v>
      </c>
      <c r="J464" s="1" t="s">
        <v>26</v>
      </c>
      <c r="K464" s="2">
        <f>SalesData[[#This Row],[Quantity]]*SalesData[[#This Row],[Unit Price]]*(1-SalesData[[#This Row],[Discount (%)]]/100)</f>
        <v>4832.8379999999997</v>
      </c>
    </row>
    <row r="465" spans="1:11" x14ac:dyDescent="0.3">
      <c r="A465" s="6">
        <v>46211</v>
      </c>
      <c r="B465" s="1" t="s">
        <v>580</v>
      </c>
      <c r="C465" s="1" t="s">
        <v>89</v>
      </c>
      <c r="D465" s="1" t="s">
        <v>12</v>
      </c>
      <c r="E465" s="1" t="s">
        <v>50</v>
      </c>
      <c r="F465" s="1" t="s">
        <v>72</v>
      </c>
      <c r="G465" s="1">
        <v>8</v>
      </c>
      <c r="H465" s="2">
        <v>459.34</v>
      </c>
      <c r="I465" s="1">
        <v>0</v>
      </c>
      <c r="J465" s="1" t="s">
        <v>15</v>
      </c>
      <c r="K465" s="2">
        <f>SalesData[[#This Row],[Quantity]]*SalesData[[#This Row],[Unit Price]]*(1-SalesData[[#This Row],[Discount (%)]]/100)</f>
        <v>3674.72</v>
      </c>
    </row>
    <row r="466" spans="1:11" x14ac:dyDescent="0.3">
      <c r="A466" s="6">
        <v>46229</v>
      </c>
      <c r="B466" s="1" t="s">
        <v>581</v>
      </c>
      <c r="C466" s="1" t="s">
        <v>42</v>
      </c>
      <c r="D466" s="1" t="s">
        <v>23</v>
      </c>
      <c r="E466" s="1" t="s">
        <v>29</v>
      </c>
      <c r="F466" s="1" t="s">
        <v>65</v>
      </c>
      <c r="G466" s="1">
        <v>10</v>
      </c>
      <c r="H466" s="2">
        <v>412.46</v>
      </c>
      <c r="I466" s="1">
        <v>15</v>
      </c>
      <c r="J466" s="1" t="s">
        <v>76</v>
      </c>
      <c r="K466" s="2">
        <f>SalesData[[#This Row],[Quantity]]*SalesData[[#This Row],[Unit Price]]*(1-SalesData[[#This Row],[Discount (%)]]/100)</f>
        <v>3505.9099999999994</v>
      </c>
    </row>
    <row r="467" spans="1:11" x14ac:dyDescent="0.3">
      <c r="A467" s="6">
        <v>46126</v>
      </c>
      <c r="B467" s="1" t="s">
        <v>582</v>
      </c>
      <c r="C467" s="1" t="s">
        <v>260</v>
      </c>
      <c r="D467" s="1" t="s">
        <v>23</v>
      </c>
      <c r="E467" s="1" t="s">
        <v>13</v>
      </c>
      <c r="F467" s="1" t="s">
        <v>19</v>
      </c>
      <c r="G467" s="1">
        <v>8</v>
      </c>
      <c r="H467" s="2">
        <v>425.67</v>
      </c>
      <c r="I467" s="1">
        <v>15</v>
      </c>
      <c r="J467" s="1" t="s">
        <v>76</v>
      </c>
      <c r="K467" s="2">
        <f>SalesData[[#This Row],[Quantity]]*SalesData[[#This Row],[Unit Price]]*(1-SalesData[[#This Row],[Discount (%)]]/100)</f>
        <v>2894.556</v>
      </c>
    </row>
    <row r="468" spans="1:11" x14ac:dyDescent="0.3">
      <c r="A468" s="6">
        <v>46081</v>
      </c>
      <c r="B468" s="1" t="s">
        <v>583</v>
      </c>
      <c r="C468" s="1" t="s">
        <v>359</v>
      </c>
      <c r="D468" s="1" t="s">
        <v>23</v>
      </c>
      <c r="E468" s="1" t="s">
        <v>24</v>
      </c>
      <c r="F468" s="1" t="s">
        <v>36</v>
      </c>
      <c r="G468" s="1">
        <v>10</v>
      </c>
      <c r="H468" s="2">
        <v>891.91</v>
      </c>
      <c r="I468" s="1">
        <v>0</v>
      </c>
      <c r="J468" s="1" t="s">
        <v>15</v>
      </c>
      <c r="K468" s="2">
        <f>SalesData[[#This Row],[Quantity]]*SalesData[[#This Row],[Unit Price]]*(1-SalesData[[#This Row],[Discount (%)]]/100)</f>
        <v>8919.1</v>
      </c>
    </row>
    <row r="469" spans="1:11" x14ac:dyDescent="0.3">
      <c r="A469" s="6">
        <v>46116</v>
      </c>
      <c r="B469" s="1" t="s">
        <v>584</v>
      </c>
      <c r="C469" s="1" t="s">
        <v>189</v>
      </c>
      <c r="D469" s="1" t="s">
        <v>35</v>
      </c>
      <c r="E469" s="1" t="s">
        <v>13</v>
      </c>
      <c r="F469" s="1" t="s">
        <v>61</v>
      </c>
      <c r="G469" s="1">
        <v>3</v>
      </c>
      <c r="H469" s="2">
        <v>827.88</v>
      </c>
      <c r="I469" s="1">
        <v>15</v>
      </c>
      <c r="J469" s="1" t="s">
        <v>20</v>
      </c>
      <c r="K469" s="2">
        <f>SalesData[[#This Row],[Quantity]]*SalesData[[#This Row],[Unit Price]]*(1-SalesData[[#This Row],[Discount (%)]]/100)</f>
        <v>2111.0940000000001</v>
      </c>
    </row>
    <row r="470" spans="1:11" x14ac:dyDescent="0.3">
      <c r="A470" s="6">
        <v>46221</v>
      </c>
      <c r="B470" s="1" t="s">
        <v>585</v>
      </c>
      <c r="C470" s="1" t="s">
        <v>42</v>
      </c>
      <c r="D470" s="1" t="s">
        <v>18</v>
      </c>
      <c r="E470" s="1" t="s">
        <v>29</v>
      </c>
      <c r="F470" s="1" t="s">
        <v>39</v>
      </c>
      <c r="G470" s="1">
        <v>2</v>
      </c>
      <c r="H470" s="2">
        <v>186.76</v>
      </c>
      <c r="I470" s="1">
        <v>10</v>
      </c>
      <c r="J470" s="1" t="s">
        <v>20</v>
      </c>
      <c r="K470" s="2">
        <f>SalesData[[#This Row],[Quantity]]*SalesData[[#This Row],[Unit Price]]*(1-SalesData[[#This Row],[Discount (%)]]/100)</f>
        <v>336.16800000000001</v>
      </c>
    </row>
    <row r="471" spans="1:11" x14ac:dyDescent="0.3">
      <c r="A471" s="6">
        <v>46033</v>
      </c>
      <c r="B471" s="1" t="s">
        <v>586</v>
      </c>
      <c r="C471" s="1" t="s">
        <v>164</v>
      </c>
      <c r="D471" s="1" t="s">
        <v>12</v>
      </c>
      <c r="E471" s="1" t="s">
        <v>24</v>
      </c>
      <c r="F471" s="1" t="s">
        <v>43</v>
      </c>
      <c r="G471" s="1">
        <v>1</v>
      </c>
      <c r="H471" s="2">
        <v>245.18</v>
      </c>
      <c r="I471" s="1">
        <v>0</v>
      </c>
      <c r="J471" s="1" t="s">
        <v>76</v>
      </c>
      <c r="K471" s="2">
        <f>SalesData[[#This Row],[Quantity]]*SalesData[[#This Row],[Unit Price]]*(1-SalesData[[#This Row],[Discount (%)]]/100)</f>
        <v>245.18</v>
      </c>
    </row>
    <row r="472" spans="1:11" x14ac:dyDescent="0.3">
      <c r="A472" s="6">
        <v>46045</v>
      </c>
      <c r="B472" s="1" t="s">
        <v>587</v>
      </c>
      <c r="C472" s="1" t="s">
        <v>177</v>
      </c>
      <c r="D472" s="1" t="s">
        <v>12</v>
      </c>
      <c r="E472" s="1" t="s">
        <v>50</v>
      </c>
      <c r="F472" s="1" t="s">
        <v>72</v>
      </c>
      <c r="G472" s="1">
        <v>2</v>
      </c>
      <c r="H472" s="2">
        <v>490.5</v>
      </c>
      <c r="I472" s="1">
        <v>5</v>
      </c>
      <c r="J472" s="1" t="s">
        <v>20</v>
      </c>
      <c r="K472" s="2">
        <f>SalesData[[#This Row],[Quantity]]*SalesData[[#This Row],[Unit Price]]*(1-SalesData[[#This Row],[Discount (%)]]/100)</f>
        <v>931.94999999999993</v>
      </c>
    </row>
    <row r="473" spans="1:11" x14ac:dyDescent="0.3">
      <c r="A473" s="6">
        <v>46082</v>
      </c>
      <c r="B473" s="1" t="s">
        <v>588</v>
      </c>
      <c r="C473" s="1" t="s">
        <v>96</v>
      </c>
      <c r="D473" s="1" t="s">
        <v>23</v>
      </c>
      <c r="E473" s="1" t="s">
        <v>29</v>
      </c>
      <c r="F473" s="1" t="s">
        <v>65</v>
      </c>
      <c r="G473" s="1">
        <v>3</v>
      </c>
      <c r="H473" s="2">
        <v>14.73</v>
      </c>
      <c r="I473" s="1">
        <v>15</v>
      </c>
      <c r="J473" s="1" t="s">
        <v>40</v>
      </c>
      <c r="K473" s="2">
        <f>SalesData[[#This Row],[Quantity]]*SalesData[[#This Row],[Unit Price]]*(1-SalesData[[#This Row],[Discount (%)]]/100)</f>
        <v>37.561499999999995</v>
      </c>
    </row>
    <row r="474" spans="1:11" x14ac:dyDescent="0.3">
      <c r="A474" s="6">
        <v>46202</v>
      </c>
      <c r="B474" s="1" t="s">
        <v>589</v>
      </c>
      <c r="C474" s="1" t="s">
        <v>219</v>
      </c>
      <c r="D474" s="1" t="s">
        <v>18</v>
      </c>
      <c r="E474" s="1" t="s">
        <v>24</v>
      </c>
      <c r="F474" s="1" t="s">
        <v>25</v>
      </c>
      <c r="G474" s="1">
        <v>6</v>
      </c>
      <c r="H474" s="2">
        <v>564.51</v>
      </c>
      <c r="I474" s="1">
        <v>15</v>
      </c>
      <c r="J474" s="1" t="s">
        <v>20</v>
      </c>
      <c r="K474" s="2">
        <f>SalesData[[#This Row],[Quantity]]*SalesData[[#This Row],[Unit Price]]*(1-SalesData[[#This Row],[Discount (%)]]/100)</f>
        <v>2879.0009999999997</v>
      </c>
    </row>
    <row r="475" spans="1:11" x14ac:dyDescent="0.3">
      <c r="A475" s="6">
        <v>46034</v>
      </c>
      <c r="B475" s="1" t="s">
        <v>590</v>
      </c>
      <c r="C475" s="1" t="s">
        <v>34</v>
      </c>
      <c r="D475" s="1" t="s">
        <v>18</v>
      </c>
      <c r="E475" s="1" t="s">
        <v>50</v>
      </c>
      <c r="F475" s="1" t="s">
        <v>58</v>
      </c>
      <c r="G475" s="1">
        <v>7</v>
      </c>
      <c r="H475" s="2">
        <v>909.26</v>
      </c>
      <c r="I475" s="1">
        <v>0</v>
      </c>
      <c r="J475" s="1" t="s">
        <v>76</v>
      </c>
      <c r="K475" s="2">
        <f>SalesData[[#This Row],[Quantity]]*SalesData[[#This Row],[Unit Price]]*(1-SalesData[[#This Row],[Discount (%)]]/100)</f>
        <v>6364.82</v>
      </c>
    </row>
    <row r="476" spans="1:11" x14ac:dyDescent="0.3">
      <c r="A476" s="6">
        <v>46151</v>
      </c>
      <c r="B476" s="1" t="s">
        <v>591</v>
      </c>
      <c r="C476" s="1" t="s">
        <v>71</v>
      </c>
      <c r="D476" s="1" t="s">
        <v>12</v>
      </c>
      <c r="E476" s="1" t="s">
        <v>50</v>
      </c>
      <c r="F476" s="1" t="s">
        <v>72</v>
      </c>
      <c r="G476" s="1">
        <v>10</v>
      </c>
      <c r="H476" s="2">
        <v>803.98</v>
      </c>
      <c r="I476" s="1">
        <v>10</v>
      </c>
      <c r="J476" s="1" t="s">
        <v>15</v>
      </c>
      <c r="K476" s="2">
        <f>SalesData[[#This Row],[Quantity]]*SalesData[[#This Row],[Unit Price]]*(1-SalesData[[#This Row],[Discount (%)]]/100)</f>
        <v>7235.8200000000006</v>
      </c>
    </row>
    <row r="477" spans="1:11" x14ac:dyDescent="0.3">
      <c r="A477" s="6">
        <v>46060</v>
      </c>
      <c r="B477" s="1" t="s">
        <v>592</v>
      </c>
      <c r="C477" s="1" t="s">
        <v>250</v>
      </c>
      <c r="D477" s="1" t="s">
        <v>35</v>
      </c>
      <c r="E477" s="1" t="s">
        <v>13</v>
      </c>
      <c r="F477" s="1" t="s">
        <v>14</v>
      </c>
      <c r="G477" s="1">
        <v>9</v>
      </c>
      <c r="H477" s="2">
        <v>512.65</v>
      </c>
      <c r="I477" s="1">
        <v>15</v>
      </c>
      <c r="J477" s="1" t="s">
        <v>26</v>
      </c>
      <c r="K477" s="2">
        <f>SalesData[[#This Row],[Quantity]]*SalesData[[#This Row],[Unit Price]]*(1-SalesData[[#This Row],[Discount (%)]]/100)</f>
        <v>3921.7724999999996</v>
      </c>
    </row>
    <row r="478" spans="1:11" x14ac:dyDescent="0.3">
      <c r="A478" s="6">
        <v>46233</v>
      </c>
      <c r="B478" s="1" t="s">
        <v>593</v>
      </c>
      <c r="C478" s="1" t="s">
        <v>57</v>
      </c>
      <c r="D478" s="1" t="s">
        <v>23</v>
      </c>
      <c r="E478" s="1" t="s">
        <v>24</v>
      </c>
      <c r="F478" s="1" t="s">
        <v>43</v>
      </c>
      <c r="G478" s="1">
        <v>3</v>
      </c>
      <c r="H478" s="2">
        <v>87.83</v>
      </c>
      <c r="I478" s="1">
        <v>5</v>
      </c>
      <c r="J478" s="1" t="s">
        <v>20</v>
      </c>
      <c r="K478" s="2">
        <f>SalesData[[#This Row],[Quantity]]*SalesData[[#This Row],[Unit Price]]*(1-SalesData[[#This Row],[Discount (%)]]/100)</f>
        <v>250.31549999999999</v>
      </c>
    </row>
    <row r="479" spans="1:11" x14ac:dyDescent="0.3">
      <c r="A479" s="6">
        <v>46023</v>
      </c>
      <c r="B479" s="1" t="s">
        <v>594</v>
      </c>
      <c r="C479" s="1" t="s">
        <v>247</v>
      </c>
      <c r="D479" s="1" t="s">
        <v>35</v>
      </c>
      <c r="E479" s="1" t="s">
        <v>50</v>
      </c>
      <c r="F479" s="1" t="s">
        <v>58</v>
      </c>
      <c r="G479" s="1">
        <v>6</v>
      </c>
      <c r="H479" s="2">
        <v>1095.1300000000001</v>
      </c>
      <c r="I479" s="1">
        <v>15</v>
      </c>
      <c r="J479" s="1" t="s">
        <v>40</v>
      </c>
      <c r="K479" s="2">
        <f>SalesData[[#This Row],[Quantity]]*SalesData[[#This Row],[Unit Price]]*(1-SalesData[[#This Row],[Discount (%)]]/100)</f>
        <v>5585.1630000000005</v>
      </c>
    </row>
    <row r="480" spans="1:11" x14ac:dyDescent="0.3">
      <c r="A480" s="6">
        <v>46112</v>
      </c>
      <c r="B480" s="1" t="s">
        <v>595</v>
      </c>
      <c r="C480" s="1" t="s">
        <v>164</v>
      </c>
      <c r="D480" s="1" t="s">
        <v>18</v>
      </c>
      <c r="E480" s="1" t="s">
        <v>50</v>
      </c>
      <c r="F480" s="1" t="s">
        <v>63</v>
      </c>
      <c r="G480" s="1">
        <v>8</v>
      </c>
      <c r="H480" s="2">
        <v>222.28</v>
      </c>
      <c r="I480" s="1">
        <v>0</v>
      </c>
      <c r="J480" s="1" t="s">
        <v>83</v>
      </c>
      <c r="K480" s="2">
        <f>SalesData[[#This Row],[Quantity]]*SalesData[[#This Row],[Unit Price]]*(1-SalesData[[#This Row],[Discount (%)]]/100)</f>
        <v>1778.24</v>
      </c>
    </row>
    <row r="481" spans="1:11" x14ac:dyDescent="0.3">
      <c r="A481" s="6">
        <v>46175</v>
      </c>
      <c r="B481" s="1" t="s">
        <v>596</v>
      </c>
      <c r="C481" s="1" t="s">
        <v>112</v>
      </c>
      <c r="D481" s="1" t="s">
        <v>23</v>
      </c>
      <c r="E481" s="1" t="s">
        <v>24</v>
      </c>
      <c r="F481" s="1" t="s">
        <v>43</v>
      </c>
      <c r="G481" s="1">
        <v>10</v>
      </c>
      <c r="H481" s="2">
        <v>555.42999999999995</v>
      </c>
      <c r="I481" s="1">
        <v>0</v>
      </c>
      <c r="J481" s="1" t="s">
        <v>76</v>
      </c>
      <c r="K481" s="2">
        <f>SalesData[[#This Row],[Quantity]]*SalesData[[#This Row],[Unit Price]]*(1-SalesData[[#This Row],[Discount (%)]]/100)</f>
        <v>5554.2999999999993</v>
      </c>
    </row>
    <row r="482" spans="1:11" x14ac:dyDescent="0.3">
      <c r="A482" s="6">
        <v>46165</v>
      </c>
      <c r="B482" s="1" t="s">
        <v>597</v>
      </c>
      <c r="C482" s="1" t="s">
        <v>141</v>
      </c>
      <c r="D482" s="1" t="s">
        <v>18</v>
      </c>
      <c r="E482" s="1" t="s">
        <v>13</v>
      </c>
      <c r="F482" s="1" t="s">
        <v>61</v>
      </c>
      <c r="G482" s="1">
        <v>7</v>
      </c>
      <c r="H482" s="2">
        <v>823.97</v>
      </c>
      <c r="I482" s="1">
        <v>0</v>
      </c>
      <c r="J482" s="1" t="s">
        <v>40</v>
      </c>
      <c r="K482" s="2">
        <f>SalesData[[#This Row],[Quantity]]*SalesData[[#This Row],[Unit Price]]*(1-SalesData[[#This Row],[Discount (%)]]/100)</f>
        <v>5767.79</v>
      </c>
    </row>
    <row r="483" spans="1:11" x14ac:dyDescent="0.3">
      <c r="A483" s="6">
        <v>46044</v>
      </c>
      <c r="B483" s="1" t="s">
        <v>598</v>
      </c>
      <c r="C483" s="1" t="s">
        <v>109</v>
      </c>
      <c r="D483" s="1" t="s">
        <v>35</v>
      </c>
      <c r="E483" s="1" t="s">
        <v>50</v>
      </c>
      <c r="F483" s="1" t="s">
        <v>72</v>
      </c>
      <c r="G483" s="1">
        <v>1</v>
      </c>
      <c r="H483" s="2">
        <v>201.67</v>
      </c>
      <c r="I483" s="1">
        <v>15</v>
      </c>
      <c r="J483" s="1" t="s">
        <v>26</v>
      </c>
      <c r="K483" s="2">
        <f>SalesData[[#This Row],[Quantity]]*SalesData[[#This Row],[Unit Price]]*(1-SalesData[[#This Row],[Discount (%)]]/100)</f>
        <v>171.41949999999997</v>
      </c>
    </row>
    <row r="484" spans="1:11" x14ac:dyDescent="0.3">
      <c r="A484" s="6">
        <v>46116</v>
      </c>
      <c r="B484" s="1" t="s">
        <v>599</v>
      </c>
      <c r="C484" s="1" t="s">
        <v>242</v>
      </c>
      <c r="D484" s="1" t="s">
        <v>23</v>
      </c>
      <c r="E484" s="1" t="s">
        <v>13</v>
      </c>
      <c r="F484" s="1" t="s">
        <v>61</v>
      </c>
      <c r="G484" s="1">
        <v>5</v>
      </c>
      <c r="H484" s="2">
        <v>695.73</v>
      </c>
      <c r="I484" s="1">
        <v>15</v>
      </c>
      <c r="J484" s="1" t="s">
        <v>20</v>
      </c>
      <c r="K484" s="2">
        <f>SalesData[[#This Row],[Quantity]]*SalesData[[#This Row],[Unit Price]]*(1-SalesData[[#This Row],[Discount (%)]]/100)</f>
        <v>2956.8525</v>
      </c>
    </row>
    <row r="485" spans="1:11" x14ac:dyDescent="0.3">
      <c r="A485" s="6">
        <v>46125</v>
      </c>
      <c r="B485" s="1" t="s">
        <v>600</v>
      </c>
      <c r="C485" s="1" t="s">
        <v>242</v>
      </c>
      <c r="D485" s="1" t="s">
        <v>18</v>
      </c>
      <c r="E485" s="1" t="s">
        <v>29</v>
      </c>
      <c r="F485" s="1" t="s">
        <v>39</v>
      </c>
      <c r="G485" s="1">
        <v>1</v>
      </c>
      <c r="H485" s="2">
        <v>950.23</v>
      </c>
      <c r="I485" s="1">
        <v>5</v>
      </c>
      <c r="J485" s="1" t="s">
        <v>20</v>
      </c>
      <c r="K485" s="2">
        <f>SalesData[[#This Row],[Quantity]]*SalesData[[#This Row],[Unit Price]]*(1-SalesData[[#This Row],[Discount (%)]]/100)</f>
        <v>902.71849999999995</v>
      </c>
    </row>
    <row r="486" spans="1:11" x14ac:dyDescent="0.3">
      <c r="A486" s="6">
        <v>46060</v>
      </c>
      <c r="B486" s="1" t="s">
        <v>601</v>
      </c>
      <c r="C486" s="1" t="s">
        <v>189</v>
      </c>
      <c r="D486" s="1" t="s">
        <v>23</v>
      </c>
      <c r="E486" s="1" t="s">
        <v>24</v>
      </c>
      <c r="F486" s="1" t="s">
        <v>25</v>
      </c>
      <c r="G486" s="1">
        <v>5</v>
      </c>
      <c r="H486" s="2">
        <v>828.61</v>
      </c>
      <c r="I486" s="1">
        <v>5</v>
      </c>
      <c r="J486" s="1" t="s">
        <v>76</v>
      </c>
      <c r="K486" s="2">
        <f>SalesData[[#This Row],[Quantity]]*SalesData[[#This Row],[Unit Price]]*(1-SalesData[[#This Row],[Discount (%)]]/100)</f>
        <v>3935.8975</v>
      </c>
    </row>
    <row r="487" spans="1:11" x14ac:dyDescent="0.3">
      <c r="A487" s="6">
        <v>46113</v>
      </c>
      <c r="B487" s="1" t="s">
        <v>602</v>
      </c>
      <c r="C487" s="1" t="s">
        <v>173</v>
      </c>
      <c r="D487" s="1" t="s">
        <v>23</v>
      </c>
      <c r="E487" s="1" t="s">
        <v>13</v>
      </c>
      <c r="F487" s="1" t="s">
        <v>19</v>
      </c>
      <c r="G487" s="1">
        <v>5</v>
      </c>
      <c r="H487" s="2">
        <v>787.5</v>
      </c>
      <c r="I487" s="1">
        <v>0</v>
      </c>
      <c r="J487" s="1" t="s">
        <v>15</v>
      </c>
      <c r="K487" s="2">
        <f>SalesData[[#This Row],[Quantity]]*SalesData[[#This Row],[Unit Price]]*(1-SalesData[[#This Row],[Discount (%)]]/100)</f>
        <v>3937.5</v>
      </c>
    </row>
    <row r="488" spans="1:11" x14ac:dyDescent="0.3">
      <c r="A488" s="6">
        <v>46088</v>
      </c>
      <c r="B488" s="1" t="s">
        <v>603</v>
      </c>
      <c r="C488" s="1" t="s">
        <v>98</v>
      </c>
      <c r="D488" s="1" t="s">
        <v>18</v>
      </c>
      <c r="E488" s="1" t="s">
        <v>13</v>
      </c>
      <c r="F488" s="1" t="s">
        <v>19</v>
      </c>
      <c r="G488" s="1">
        <v>7</v>
      </c>
      <c r="H488" s="2">
        <v>761.33</v>
      </c>
      <c r="I488" s="1">
        <v>15</v>
      </c>
      <c r="J488" s="1" t="s">
        <v>20</v>
      </c>
      <c r="K488" s="2">
        <f>SalesData[[#This Row],[Quantity]]*SalesData[[#This Row],[Unit Price]]*(1-SalesData[[#This Row],[Discount (%)]]/100)</f>
        <v>4529.9135000000006</v>
      </c>
    </row>
    <row r="489" spans="1:11" x14ac:dyDescent="0.3">
      <c r="A489" s="6">
        <v>46065</v>
      </c>
      <c r="B489" s="1" t="s">
        <v>604</v>
      </c>
      <c r="C489" s="1" t="s">
        <v>250</v>
      </c>
      <c r="D489" s="1" t="s">
        <v>35</v>
      </c>
      <c r="E489" s="1" t="s">
        <v>13</v>
      </c>
      <c r="F489" s="1" t="s">
        <v>14</v>
      </c>
      <c r="G489" s="1">
        <v>2</v>
      </c>
      <c r="H489" s="2">
        <v>847.55</v>
      </c>
      <c r="I489" s="1">
        <v>0</v>
      </c>
      <c r="J489" s="1" t="s">
        <v>76</v>
      </c>
      <c r="K489" s="2">
        <f>SalesData[[#This Row],[Quantity]]*SalesData[[#This Row],[Unit Price]]*(1-SalesData[[#This Row],[Discount (%)]]/100)</f>
        <v>1695.1</v>
      </c>
    </row>
    <row r="490" spans="1:11" x14ac:dyDescent="0.3">
      <c r="A490" s="6">
        <v>46229</v>
      </c>
      <c r="B490" s="1" t="s">
        <v>605</v>
      </c>
      <c r="C490" s="1" t="s">
        <v>112</v>
      </c>
      <c r="D490" s="1" t="s">
        <v>23</v>
      </c>
      <c r="E490" s="1" t="s">
        <v>29</v>
      </c>
      <c r="F490" s="1" t="s">
        <v>30</v>
      </c>
      <c r="G490" s="1">
        <v>7</v>
      </c>
      <c r="H490" s="2">
        <v>678.62</v>
      </c>
      <c r="I490" s="1">
        <v>15</v>
      </c>
      <c r="J490" s="1" t="s">
        <v>20</v>
      </c>
      <c r="K490" s="2">
        <f>SalesData[[#This Row],[Quantity]]*SalesData[[#This Row],[Unit Price]]*(1-SalesData[[#This Row],[Discount (%)]]/100)</f>
        <v>4037.7890000000002</v>
      </c>
    </row>
    <row r="491" spans="1:11" x14ac:dyDescent="0.3">
      <c r="A491" s="6">
        <v>46043</v>
      </c>
      <c r="B491" s="1" t="s">
        <v>606</v>
      </c>
      <c r="C491" s="1" t="s">
        <v>57</v>
      </c>
      <c r="D491" s="1" t="s">
        <v>18</v>
      </c>
      <c r="E491" s="1" t="s">
        <v>13</v>
      </c>
      <c r="F491" s="1" t="s">
        <v>14</v>
      </c>
      <c r="G491" s="1">
        <v>1</v>
      </c>
      <c r="H491" s="2">
        <v>1120.05</v>
      </c>
      <c r="I491" s="1">
        <v>0</v>
      </c>
      <c r="J491" s="1" t="s">
        <v>20</v>
      </c>
      <c r="K491" s="2">
        <f>SalesData[[#This Row],[Quantity]]*SalesData[[#This Row],[Unit Price]]*(1-SalesData[[#This Row],[Discount (%)]]/100)</f>
        <v>1120.05</v>
      </c>
    </row>
    <row r="492" spans="1:11" x14ac:dyDescent="0.3">
      <c r="A492" s="6">
        <v>46124</v>
      </c>
      <c r="B492" s="1" t="s">
        <v>607</v>
      </c>
      <c r="C492" s="1" t="s">
        <v>32</v>
      </c>
      <c r="D492" s="1" t="s">
        <v>12</v>
      </c>
      <c r="E492" s="1" t="s">
        <v>50</v>
      </c>
      <c r="F492" s="1" t="s">
        <v>51</v>
      </c>
      <c r="G492" s="1">
        <v>10</v>
      </c>
      <c r="H492" s="2">
        <v>386.86</v>
      </c>
      <c r="I492" s="1">
        <v>10</v>
      </c>
      <c r="J492" s="1" t="s">
        <v>20</v>
      </c>
      <c r="K492" s="2">
        <f>SalesData[[#This Row],[Quantity]]*SalesData[[#This Row],[Unit Price]]*(1-SalesData[[#This Row],[Discount (%)]]/100)</f>
        <v>3481.7400000000002</v>
      </c>
    </row>
    <row r="493" spans="1:11" x14ac:dyDescent="0.3">
      <c r="A493" s="6">
        <v>46061</v>
      </c>
      <c r="B493" s="1" t="s">
        <v>608</v>
      </c>
      <c r="C493" s="1" t="s">
        <v>98</v>
      </c>
      <c r="D493" s="1" t="s">
        <v>23</v>
      </c>
      <c r="E493" s="1" t="s">
        <v>13</v>
      </c>
      <c r="F493" s="1" t="s">
        <v>19</v>
      </c>
      <c r="G493" s="1">
        <v>9</v>
      </c>
      <c r="H493" s="2">
        <v>1023.26</v>
      </c>
      <c r="I493" s="1">
        <v>10</v>
      </c>
      <c r="J493" s="1" t="s">
        <v>26</v>
      </c>
      <c r="K493" s="2">
        <f>SalesData[[#This Row],[Quantity]]*SalesData[[#This Row],[Unit Price]]*(1-SalesData[[#This Row],[Discount (%)]]/100)</f>
        <v>8288.4060000000009</v>
      </c>
    </row>
    <row r="494" spans="1:11" x14ac:dyDescent="0.3">
      <c r="A494" s="6">
        <v>46032</v>
      </c>
      <c r="B494" s="1" t="s">
        <v>609</v>
      </c>
      <c r="C494" s="1" t="s">
        <v>71</v>
      </c>
      <c r="D494" s="1" t="s">
        <v>18</v>
      </c>
      <c r="E494" s="1" t="s">
        <v>29</v>
      </c>
      <c r="F494" s="1" t="s">
        <v>30</v>
      </c>
      <c r="G494" s="1">
        <v>7</v>
      </c>
      <c r="H494" s="2">
        <v>974.32</v>
      </c>
      <c r="I494" s="1">
        <v>5</v>
      </c>
      <c r="J494" s="1" t="s">
        <v>20</v>
      </c>
      <c r="K494" s="2">
        <f>SalesData[[#This Row],[Quantity]]*SalesData[[#This Row],[Unit Price]]*(1-SalesData[[#This Row],[Discount (%)]]/100)</f>
        <v>6479.2280000000001</v>
      </c>
    </row>
    <row r="495" spans="1:11" x14ac:dyDescent="0.3">
      <c r="A495" s="6">
        <v>46221</v>
      </c>
      <c r="B495" s="1" t="s">
        <v>610</v>
      </c>
      <c r="C495" s="1" t="s">
        <v>187</v>
      </c>
      <c r="D495" s="1" t="s">
        <v>12</v>
      </c>
      <c r="E495" s="1" t="s">
        <v>50</v>
      </c>
      <c r="F495" s="1" t="s">
        <v>72</v>
      </c>
      <c r="G495" s="1">
        <v>1</v>
      </c>
      <c r="H495" s="2">
        <v>1092.69</v>
      </c>
      <c r="I495" s="1">
        <v>0</v>
      </c>
      <c r="J495" s="1" t="s">
        <v>20</v>
      </c>
      <c r="K495" s="2">
        <f>SalesData[[#This Row],[Quantity]]*SalesData[[#This Row],[Unit Price]]*(1-SalesData[[#This Row],[Discount (%)]]/100)</f>
        <v>1092.69</v>
      </c>
    </row>
    <row r="496" spans="1:11" x14ac:dyDescent="0.3">
      <c r="A496" s="6">
        <v>46220</v>
      </c>
      <c r="B496" s="1" t="s">
        <v>611</v>
      </c>
      <c r="C496" s="1" t="s">
        <v>247</v>
      </c>
      <c r="D496" s="1" t="s">
        <v>23</v>
      </c>
      <c r="E496" s="1" t="s">
        <v>50</v>
      </c>
      <c r="F496" s="1" t="s">
        <v>72</v>
      </c>
      <c r="G496" s="1">
        <v>9</v>
      </c>
      <c r="H496" s="2">
        <v>84.55</v>
      </c>
      <c r="I496" s="1">
        <v>15</v>
      </c>
      <c r="J496" s="1" t="s">
        <v>15</v>
      </c>
      <c r="K496" s="2">
        <f>SalesData[[#This Row],[Quantity]]*SalesData[[#This Row],[Unit Price]]*(1-SalesData[[#This Row],[Discount (%)]]/100)</f>
        <v>646.80749999999989</v>
      </c>
    </row>
    <row r="497" spans="1:11" x14ac:dyDescent="0.3">
      <c r="A497" s="6">
        <v>46155</v>
      </c>
      <c r="B497" s="1" t="s">
        <v>612</v>
      </c>
      <c r="C497" s="1" t="s">
        <v>93</v>
      </c>
      <c r="D497" s="1" t="s">
        <v>18</v>
      </c>
      <c r="E497" s="1" t="s">
        <v>24</v>
      </c>
      <c r="F497" s="1" t="s">
        <v>36</v>
      </c>
      <c r="G497" s="1">
        <v>9</v>
      </c>
      <c r="H497" s="2">
        <v>770.37</v>
      </c>
      <c r="I497" s="1">
        <v>10</v>
      </c>
      <c r="J497" s="1" t="s">
        <v>20</v>
      </c>
      <c r="K497" s="2">
        <f>SalesData[[#This Row],[Quantity]]*SalesData[[#This Row],[Unit Price]]*(1-SalesData[[#This Row],[Discount (%)]]/100)</f>
        <v>6239.9970000000003</v>
      </c>
    </row>
    <row r="498" spans="1:11" x14ac:dyDescent="0.3">
      <c r="A498" s="6">
        <v>46137</v>
      </c>
      <c r="B498" s="1" t="s">
        <v>613</v>
      </c>
      <c r="C498" s="1" t="s">
        <v>104</v>
      </c>
      <c r="D498" s="1" t="s">
        <v>18</v>
      </c>
      <c r="E498" s="1" t="s">
        <v>13</v>
      </c>
      <c r="F498" s="1" t="s">
        <v>61</v>
      </c>
      <c r="G498" s="1">
        <v>4</v>
      </c>
      <c r="H498" s="2">
        <v>1037.73</v>
      </c>
      <c r="I498" s="1">
        <v>5</v>
      </c>
      <c r="J498" s="1" t="s">
        <v>40</v>
      </c>
      <c r="K498" s="2">
        <f>SalesData[[#This Row],[Quantity]]*SalesData[[#This Row],[Unit Price]]*(1-SalesData[[#This Row],[Discount (%)]]/100)</f>
        <v>3943.3739999999998</v>
      </c>
    </row>
    <row r="499" spans="1:11" x14ac:dyDescent="0.3">
      <c r="A499" s="6">
        <v>46055</v>
      </c>
      <c r="B499" s="1" t="s">
        <v>614</v>
      </c>
      <c r="C499" s="1" t="s">
        <v>187</v>
      </c>
      <c r="D499" s="1" t="s">
        <v>35</v>
      </c>
      <c r="E499" s="1" t="s">
        <v>24</v>
      </c>
      <c r="F499" s="1" t="s">
        <v>43</v>
      </c>
      <c r="G499" s="1">
        <v>5</v>
      </c>
      <c r="H499" s="2">
        <v>1150.5899999999999</v>
      </c>
      <c r="I499" s="1">
        <v>5</v>
      </c>
      <c r="J499" s="1" t="s">
        <v>26</v>
      </c>
      <c r="K499" s="2">
        <f>SalesData[[#This Row],[Quantity]]*SalesData[[#This Row],[Unit Price]]*(1-SalesData[[#This Row],[Discount (%)]]/100)</f>
        <v>5465.3024999999998</v>
      </c>
    </row>
    <row r="500" spans="1:11" x14ac:dyDescent="0.3">
      <c r="A500" s="6">
        <v>46087</v>
      </c>
      <c r="B500" s="1" t="s">
        <v>615</v>
      </c>
      <c r="C500" s="1" t="s">
        <v>93</v>
      </c>
      <c r="D500" s="1" t="s">
        <v>18</v>
      </c>
      <c r="E500" s="1" t="s">
        <v>29</v>
      </c>
      <c r="F500" s="1" t="s">
        <v>30</v>
      </c>
      <c r="G500" s="1">
        <v>7</v>
      </c>
      <c r="H500" s="2">
        <v>1057.8900000000001</v>
      </c>
      <c r="I500" s="1">
        <v>15</v>
      </c>
      <c r="J500" s="1" t="s">
        <v>20</v>
      </c>
      <c r="K500" s="2">
        <f>SalesData[[#This Row],[Quantity]]*SalesData[[#This Row],[Unit Price]]*(1-SalesData[[#This Row],[Discount (%)]]/100)</f>
        <v>6294.4454999999998</v>
      </c>
    </row>
    <row r="501" spans="1:11" x14ac:dyDescent="0.3">
      <c r="A501" s="6">
        <v>46088</v>
      </c>
      <c r="B501" s="1" t="s">
        <v>616</v>
      </c>
      <c r="C501" s="1" t="s">
        <v>100</v>
      </c>
      <c r="D501" s="1" t="s">
        <v>18</v>
      </c>
      <c r="E501" s="1" t="s">
        <v>24</v>
      </c>
      <c r="F501" s="1" t="s">
        <v>36</v>
      </c>
      <c r="G501" s="1">
        <v>5</v>
      </c>
      <c r="H501" s="2">
        <v>394.09</v>
      </c>
      <c r="I501" s="1">
        <v>15</v>
      </c>
      <c r="J501" s="1" t="s">
        <v>76</v>
      </c>
      <c r="K501" s="2">
        <f>SalesData[[#This Row],[Quantity]]*SalesData[[#This Row],[Unit Price]]*(1-SalesData[[#This Row],[Discount (%)]]/100)</f>
        <v>1674.8824999999997</v>
      </c>
    </row>
  </sheetData>
  <pageMargins left="0.75" right="0.75" top="1" bottom="1" header="0.5" footer="0.5"/>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023A4A-89BE-4F11-BC8E-A330D907D19D}">
  <dimension ref="B4:C9"/>
  <sheetViews>
    <sheetView workbookViewId="0">
      <selection activeCell="C7" sqref="C7"/>
    </sheetView>
  </sheetViews>
  <sheetFormatPr defaultRowHeight="14" x14ac:dyDescent="0.3"/>
  <cols>
    <col min="2" max="2" width="11.75" bestFit="1" customWidth="1"/>
    <col min="3" max="3" width="16.9140625" bestFit="1" customWidth="1"/>
    <col min="5" max="83" width="8"/>
  </cols>
  <sheetData>
    <row r="4" spans="2:3" x14ac:dyDescent="0.3">
      <c r="B4" s="3" t="s">
        <v>623</v>
      </c>
      <c r="C4" t="s">
        <v>625</v>
      </c>
    </row>
    <row r="5" spans="2:3" x14ac:dyDescent="0.3">
      <c r="B5" s="4" t="s">
        <v>18</v>
      </c>
      <c r="C5" s="5">
        <v>431839.11150000006</v>
      </c>
    </row>
    <row r="6" spans="2:3" x14ac:dyDescent="0.3">
      <c r="B6" s="4" t="s">
        <v>12</v>
      </c>
      <c r="C6" s="5">
        <v>444823.18549999996</v>
      </c>
    </row>
    <row r="7" spans="2:3" x14ac:dyDescent="0.3">
      <c r="B7" s="4" t="s">
        <v>35</v>
      </c>
      <c r="C7" s="5">
        <v>311705.80650000018</v>
      </c>
    </row>
    <row r="8" spans="2:3" x14ac:dyDescent="0.3">
      <c r="B8" s="4" t="s">
        <v>23</v>
      </c>
      <c r="C8" s="5">
        <v>405699.54550000007</v>
      </c>
    </row>
    <row r="9" spans="2:3" x14ac:dyDescent="0.3">
      <c r="B9" s="4" t="s">
        <v>624</v>
      </c>
      <c r="C9" s="5">
        <v>1594067.6490000002</v>
      </c>
    </row>
  </sheetData>
  <pageMargins left="0.75" right="0.75" top="1" bottom="1" header="0.5" footer="0.5"/>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4935B3-DFEC-4B89-8903-547458566733}">
  <dimension ref="B5:C10"/>
  <sheetViews>
    <sheetView workbookViewId="0">
      <selection activeCell="C5" sqref="C5"/>
    </sheetView>
  </sheetViews>
  <sheetFormatPr defaultRowHeight="14" x14ac:dyDescent="0.3"/>
  <cols>
    <col min="2" max="2" width="11.9140625" bestFit="1" customWidth="1"/>
    <col min="3" max="3" width="16.9140625" bestFit="1" customWidth="1"/>
  </cols>
  <sheetData>
    <row r="5" spans="2:3" x14ac:dyDescent="0.3">
      <c r="B5" s="3" t="s">
        <v>623</v>
      </c>
      <c r="C5" t="s">
        <v>625</v>
      </c>
    </row>
    <row r="6" spans="2:3" x14ac:dyDescent="0.3">
      <c r="B6" s="4" t="s">
        <v>24</v>
      </c>
      <c r="C6" s="5">
        <v>432251.52</v>
      </c>
    </row>
    <row r="7" spans="2:3" x14ac:dyDescent="0.3">
      <c r="B7" s="4" t="s">
        <v>50</v>
      </c>
      <c r="C7" s="5">
        <v>352857.68900000013</v>
      </c>
    </row>
    <row r="8" spans="2:3" x14ac:dyDescent="0.3">
      <c r="B8" s="4" t="s">
        <v>13</v>
      </c>
      <c r="C8" s="5">
        <v>442422.87700000004</v>
      </c>
    </row>
    <row r="9" spans="2:3" x14ac:dyDescent="0.3">
      <c r="B9" s="4" t="s">
        <v>29</v>
      </c>
      <c r="C9" s="5">
        <v>366535.56300000002</v>
      </c>
    </row>
    <row r="10" spans="2:3" x14ac:dyDescent="0.3">
      <c r="B10" s="4" t="s">
        <v>624</v>
      </c>
      <c r="C10" s="5">
        <v>1594067.6490000002</v>
      </c>
    </row>
  </sheetData>
  <pageMargins left="0.75" right="0.75" top="1" bottom="1" header="0.5" footer="0.5"/>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FF878B-4F65-4D17-A2F2-0186C32BFC48}">
  <dimension ref="A2:B9"/>
  <sheetViews>
    <sheetView workbookViewId="0">
      <selection activeCell="B2" sqref="B2"/>
    </sheetView>
  </sheetViews>
  <sheetFormatPr defaultRowHeight="14" x14ac:dyDescent="0.3"/>
  <cols>
    <col min="1" max="1" width="11.75" bestFit="1" customWidth="1"/>
    <col min="2" max="2" width="13.08203125" bestFit="1" customWidth="1"/>
    <col min="3" max="3" width="10.83203125" customWidth="1"/>
    <col min="4" max="7" width="10" bestFit="1" customWidth="1"/>
    <col min="8" max="8" width="11.4140625" bestFit="1" customWidth="1"/>
  </cols>
  <sheetData>
    <row r="2" spans="1:2" x14ac:dyDescent="0.3">
      <c r="A2" s="3" t="s">
        <v>623</v>
      </c>
      <c r="B2" t="s">
        <v>639</v>
      </c>
    </row>
    <row r="3" spans="1:2" x14ac:dyDescent="0.3">
      <c r="A3" s="4" t="s">
        <v>76</v>
      </c>
      <c r="B3" s="7">
        <v>0.14282733053570681</v>
      </c>
    </row>
    <row r="4" spans="1:2" x14ac:dyDescent="0.3">
      <c r="A4" s="4" t="s">
        <v>20</v>
      </c>
      <c r="B4" s="7">
        <v>0.20483983989314364</v>
      </c>
    </row>
    <row r="5" spans="1:2" x14ac:dyDescent="0.3">
      <c r="A5" s="4" t="s">
        <v>40</v>
      </c>
      <c r="B5" s="7">
        <v>0.11657179738674943</v>
      </c>
    </row>
    <row r="6" spans="1:2" x14ac:dyDescent="0.3">
      <c r="A6" s="4" t="s">
        <v>26</v>
      </c>
      <c r="B6" s="7">
        <v>0.21010066179443559</v>
      </c>
    </row>
    <row r="7" spans="1:2" x14ac:dyDescent="0.3">
      <c r="A7" s="4" t="s">
        <v>83</v>
      </c>
      <c r="B7" s="7">
        <v>0.13636647926226123</v>
      </c>
    </row>
    <row r="8" spans="1:2" x14ac:dyDescent="0.3">
      <c r="A8" s="4" t="s">
        <v>15</v>
      </c>
      <c r="B8" s="7">
        <v>0.18929389112770334</v>
      </c>
    </row>
    <row r="9" spans="1:2" x14ac:dyDescent="0.3">
      <c r="A9" s="4" t="s">
        <v>624</v>
      </c>
      <c r="B9" s="7">
        <v>1</v>
      </c>
    </row>
  </sheetData>
  <pageMargins left="0.75" right="0.75" top="1" bottom="1" header="0.5" footer="0.5"/>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DE357-382A-48D8-A86B-22C5E7F31E97}">
  <dimension ref="A3:B84"/>
  <sheetViews>
    <sheetView topLeftCell="B1" workbookViewId="0">
      <selection activeCell="S6" sqref="S6"/>
    </sheetView>
  </sheetViews>
  <sheetFormatPr defaultRowHeight="14" x14ac:dyDescent="0.3"/>
  <cols>
    <col min="1" max="1" width="11.75" bestFit="1" customWidth="1"/>
    <col min="2" max="2" width="14.58203125" bestFit="1" customWidth="1"/>
  </cols>
  <sheetData>
    <row r="3" spans="1:2" x14ac:dyDescent="0.3">
      <c r="A3" s="3" t="s">
        <v>623</v>
      </c>
      <c r="B3" t="s">
        <v>637</v>
      </c>
    </row>
    <row r="4" spans="1:2" x14ac:dyDescent="0.3">
      <c r="A4" s="4" t="s">
        <v>60</v>
      </c>
      <c r="B4" s="8">
        <v>9</v>
      </c>
    </row>
    <row r="5" spans="1:2" x14ac:dyDescent="0.3">
      <c r="A5" s="4" t="s">
        <v>266</v>
      </c>
      <c r="B5" s="8">
        <v>3</v>
      </c>
    </row>
    <row r="6" spans="1:2" x14ac:dyDescent="0.3">
      <c r="A6" s="4" t="s">
        <v>175</v>
      </c>
      <c r="B6" s="8">
        <v>6</v>
      </c>
    </row>
    <row r="7" spans="1:2" x14ac:dyDescent="0.3">
      <c r="A7" s="4" t="s">
        <v>141</v>
      </c>
      <c r="B7" s="8">
        <v>12</v>
      </c>
    </row>
    <row r="8" spans="1:2" x14ac:dyDescent="0.3">
      <c r="A8" s="4" t="s">
        <v>98</v>
      </c>
      <c r="B8" s="8">
        <v>10</v>
      </c>
    </row>
    <row r="9" spans="1:2" x14ac:dyDescent="0.3">
      <c r="A9" s="4" t="s">
        <v>28</v>
      </c>
      <c r="B9" s="8">
        <v>6</v>
      </c>
    </row>
    <row r="10" spans="1:2" x14ac:dyDescent="0.3">
      <c r="A10" s="4" t="s">
        <v>69</v>
      </c>
      <c r="B10" s="8">
        <v>8</v>
      </c>
    </row>
    <row r="11" spans="1:2" x14ac:dyDescent="0.3">
      <c r="A11" s="4" t="s">
        <v>57</v>
      </c>
      <c r="B11" s="8">
        <v>9</v>
      </c>
    </row>
    <row r="12" spans="1:2" x14ac:dyDescent="0.3">
      <c r="A12" s="4" t="s">
        <v>82</v>
      </c>
      <c r="B12" s="8">
        <v>4</v>
      </c>
    </row>
    <row r="13" spans="1:2" x14ac:dyDescent="0.3">
      <c r="A13" s="4" t="s">
        <v>135</v>
      </c>
      <c r="B13" s="8">
        <v>7</v>
      </c>
    </row>
    <row r="14" spans="1:2" x14ac:dyDescent="0.3">
      <c r="A14" s="4" t="s">
        <v>164</v>
      </c>
      <c r="B14" s="8">
        <v>5</v>
      </c>
    </row>
    <row r="15" spans="1:2" x14ac:dyDescent="0.3">
      <c r="A15" s="4" t="s">
        <v>106</v>
      </c>
      <c r="B15" s="8">
        <v>8</v>
      </c>
    </row>
    <row r="16" spans="1:2" x14ac:dyDescent="0.3">
      <c r="A16" s="4" t="s">
        <v>181</v>
      </c>
      <c r="B16" s="8">
        <v>3</v>
      </c>
    </row>
    <row r="17" spans="1:2" x14ac:dyDescent="0.3">
      <c r="A17" s="4" t="s">
        <v>80</v>
      </c>
      <c r="B17" s="8">
        <v>6</v>
      </c>
    </row>
    <row r="18" spans="1:2" x14ac:dyDescent="0.3">
      <c r="A18" s="4" t="s">
        <v>32</v>
      </c>
      <c r="B18" s="8">
        <v>7</v>
      </c>
    </row>
    <row r="19" spans="1:2" x14ac:dyDescent="0.3">
      <c r="A19" s="4" t="s">
        <v>219</v>
      </c>
      <c r="B19" s="8">
        <v>8</v>
      </c>
    </row>
    <row r="20" spans="1:2" x14ac:dyDescent="0.3">
      <c r="A20" s="4" t="s">
        <v>184</v>
      </c>
      <c r="B20" s="8">
        <v>5</v>
      </c>
    </row>
    <row r="21" spans="1:2" x14ac:dyDescent="0.3">
      <c r="A21" s="4" t="s">
        <v>189</v>
      </c>
      <c r="B21" s="8">
        <v>7</v>
      </c>
    </row>
    <row r="22" spans="1:2" x14ac:dyDescent="0.3">
      <c r="A22" s="4" t="s">
        <v>179</v>
      </c>
      <c r="B22" s="8">
        <v>6</v>
      </c>
    </row>
    <row r="23" spans="1:2" x14ac:dyDescent="0.3">
      <c r="A23" s="4" t="s">
        <v>42</v>
      </c>
      <c r="B23" s="8">
        <v>7</v>
      </c>
    </row>
    <row r="24" spans="1:2" x14ac:dyDescent="0.3">
      <c r="A24" s="4" t="s">
        <v>100</v>
      </c>
      <c r="B24" s="8">
        <v>7</v>
      </c>
    </row>
    <row r="25" spans="1:2" x14ac:dyDescent="0.3">
      <c r="A25" s="4" t="s">
        <v>53</v>
      </c>
      <c r="B25" s="8">
        <v>6</v>
      </c>
    </row>
    <row r="26" spans="1:2" x14ac:dyDescent="0.3">
      <c r="A26" s="4" t="s">
        <v>337</v>
      </c>
      <c r="B26" s="8">
        <v>5</v>
      </c>
    </row>
    <row r="27" spans="1:2" x14ac:dyDescent="0.3">
      <c r="A27" s="4" t="s">
        <v>143</v>
      </c>
      <c r="B27" s="8">
        <v>5</v>
      </c>
    </row>
    <row r="28" spans="1:2" x14ac:dyDescent="0.3">
      <c r="A28" s="4" t="s">
        <v>160</v>
      </c>
      <c r="B28" s="8">
        <v>6</v>
      </c>
    </row>
    <row r="29" spans="1:2" x14ac:dyDescent="0.3">
      <c r="A29" s="4" t="s">
        <v>122</v>
      </c>
      <c r="B29" s="8">
        <v>4</v>
      </c>
    </row>
    <row r="30" spans="1:2" x14ac:dyDescent="0.3">
      <c r="A30" s="4" t="s">
        <v>271</v>
      </c>
      <c r="B30" s="8">
        <v>6</v>
      </c>
    </row>
    <row r="31" spans="1:2" x14ac:dyDescent="0.3">
      <c r="A31" s="4" t="s">
        <v>104</v>
      </c>
      <c r="B31" s="8">
        <v>6</v>
      </c>
    </row>
    <row r="32" spans="1:2" x14ac:dyDescent="0.3">
      <c r="A32" s="4" t="s">
        <v>131</v>
      </c>
      <c r="B32" s="8">
        <v>4</v>
      </c>
    </row>
    <row r="33" spans="1:2" x14ac:dyDescent="0.3">
      <c r="A33" s="4" t="s">
        <v>112</v>
      </c>
      <c r="B33" s="8">
        <v>4</v>
      </c>
    </row>
    <row r="34" spans="1:2" x14ac:dyDescent="0.3">
      <c r="A34" s="4" t="s">
        <v>284</v>
      </c>
      <c r="B34" s="8">
        <v>3</v>
      </c>
    </row>
    <row r="35" spans="1:2" x14ac:dyDescent="0.3">
      <c r="A35" s="4" t="s">
        <v>93</v>
      </c>
      <c r="B35" s="8">
        <v>6</v>
      </c>
    </row>
    <row r="36" spans="1:2" x14ac:dyDescent="0.3">
      <c r="A36" s="4" t="s">
        <v>155</v>
      </c>
      <c r="B36" s="8">
        <v>5</v>
      </c>
    </row>
    <row r="37" spans="1:2" x14ac:dyDescent="0.3">
      <c r="A37" s="4" t="s">
        <v>194</v>
      </c>
      <c r="B37" s="8">
        <v>6</v>
      </c>
    </row>
    <row r="38" spans="1:2" x14ac:dyDescent="0.3">
      <c r="A38" s="4" t="s">
        <v>17</v>
      </c>
      <c r="B38" s="8">
        <v>12</v>
      </c>
    </row>
    <row r="39" spans="1:2" x14ac:dyDescent="0.3">
      <c r="A39" s="4" t="s">
        <v>247</v>
      </c>
      <c r="B39" s="8">
        <v>4</v>
      </c>
    </row>
    <row r="40" spans="1:2" x14ac:dyDescent="0.3">
      <c r="A40" s="4" t="s">
        <v>89</v>
      </c>
      <c r="B40" s="8">
        <v>11</v>
      </c>
    </row>
    <row r="41" spans="1:2" x14ac:dyDescent="0.3">
      <c r="A41" s="4" t="s">
        <v>114</v>
      </c>
      <c r="B41" s="8">
        <v>6</v>
      </c>
    </row>
    <row r="42" spans="1:2" x14ac:dyDescent="0.3">
      <c r="A42" s="4" t="s">
        <v>120</v>
      </c>
      <c r="B42" s="8">
        <v>5</v>
      </c>
    </row>
    <row r="43" spans="1:2" x14ac:dyDescent="0.3">
      <c r="A43" s="4" t="s">
        <v>109</v>
      </c>
      <c r="B43" s="8">
        <v>6</v>
      </c>
    </row>
    <row r="44" spans="1:2" x14ac:dyDescent="0.3">
      <c r="A44" s="4" t="s">
        <v>125</v>
      </c>
      <c r="B44" s="8">
        <v>2</v>
      </c>
    </row>
    <row r="45" spans="1:2" x14ac:dyDescent="0.3">
      <c r="A45" s="4" t="s">
        <v>11</v>
      </c>
      <c r="B45" s="8">
        <v>11</v>
      </c>
    </row>
    <row r="46" spans="1:2" x14ac:dyDescent="0.3">
      <c r="A46" s="4" t="s">
        <v>38</v>
      </c>
      <c r="B46" s="8">
        <v>6</v>
      </c>
    </row>
    <row r="47" spans="1:2" x14ac:dyDescent="0.3">
      <c r="A47" s="4" t="s">
        <v>147</v>
      </c>
      <c r="B47" s="8">
        <v>6</v>
      </c>
    </row>
    <row r="48" spans="1:2" x14ac:dyDescent="0.3">
      <c r="A48" s="4" t="s">
        <v>78</v>
      </c>
      <c r="B48" s="8">
        <v>7</v>
      </c>
    </row>
    <row r="49" spans="1:2" x14ac:dyDescent="0.3">
      <c r="A49" s="4" t="s">
        <v>222</v>
      </c>
      <c r="B49" s="8">
        <v>7</v>
      </c>
    </row>
    <row r="50" spans="1:2" x14ac:dyDescent="0.3">
      <c r="A50" s="4" t="s">
        <v>96</v>
      </c>
      <c r="B50" s="8">
        <v>6</v>
      </c>
    </row>
    <row r="51" spans="1:2" x14ac:dyDescent="0.3">
      <c r="A51" s="4" t="s">
        <v>250</v>
      </c>
      <c r="B51" s="8">
        <v>8</v>
      </c>
    </row>
    <row r="52" spans="1:2" x14ac:dyDescent="0.3">
      <c r="A52" s="4" t="s">
        <v>67</v>
      </c>
      <c r="B52" s="8">
        <v>4</v>
      </c>
    </row>
    <row r="53" spans="1:2" x14ac:dyDescent="0.3">
      <c r="A53" s="4" t="s">
        <v>289</v>
      </c>
      <c r="B53" s="8">
        <v>3</v>
      </c>
    </row>
    <row r="54" spans="1:2" x14ac:dyDescent="0.3">
      <c r="A54" s="4" t="s">
        <v>75</v>
      </c>
      <c r="B54" s="8">
        <v>4</v>
      </c>
    </row>
    <row r="55" spans="1:2" x14ac:dyDescent="0.3">
      <c r="A55" s="4" t="s">
        <v>187</v>
      </c>
      <c r="B55" s="8">
        <v>7</v>
      </c>
    </row>
    <row r="56" spans="1:2" x14ac:dyDescent="0.3">
      <c r="A56" s="4" t="s">
        <v>300</v>
      </c>
      <c r="B56" s="8">
        <v>4</v>
      </c>
    </row>
    <row r="57" spans="1:2" x14ac:dyDescent="0.3">
      <c r="A57" s="4" t="s">
        <v>138</v>
      </c>
      <c r="B57" s="8">
        <v>4</v>
      </c>
    </row>
    <row r="58" spans="1:2" x14ac:dyDescent="0.3">
      <c r="A58" s="4" t="s">
        <v>149</v>
      </c>
      <c r="B58" s="8">
        <v>5</v>
      </c>
    </row>
    <row r="59" spans="1:2" x14ac:dyDescent="0.3">
      <c r="A59" s="4" t="s">
        <v>86</v>
      </c>
      <c r="B59" s="8">
        <v>9</v>
      </c>
    </row>
    <row r="60" spans="1:2" x14ac:dyDescent="0.3">
      <c r="A60" s="4" t="s">
        <v>49</v>
      </c>
      <c r="B60" s="8">
        <v>12</v>
      </c>
    </row>
    <row r="61" spans="1:2" x14ac:dyDescent="0.3">
      <c r="A61" s="4" t="s">
        <v>359</v>
      </c>
      <c r="B61" s="8">
        <v>9</v>
      </c>
    </row>
    <row r="62" spans="1:2" x14ac:dyDescent="0.3">
      <c r="A62" s="4" t="s">
        <v>260</v>
      </c>
      <c r="B62" s="8">
        <v>7</v>
      </c>
    </row>
    <row r="63" spans="1:2" x14ac:dyDescent="0.3">
      <c r="A63" s="4" t="s">
        <v>278</v>
      </c>
      <c r="B63" s="8">
        <v>6</v>
      </c>
    </row>
    <row r="64" spans="1:2" x14ac:dyDescent="0.3">
      <c r="A64" s="4" t="s">
        <v>268</v>
      </c>
      <c r="B64" s="8">
        <v>2</v>
      </c>
    </row>
    <row r="65" spans="1:2" x14ac:dyDescent="0.3">
      <c r="A65" s="4" t="s">
        <v>214</v>
      </c>
      <c r="B65" s="8">
        <v>3</v>
      </c>
    </row>
    <row r="66" spans="1:2" x14ac:dyDescent="0.3">
      <c r="A66" s="4" t="s">
        <v>315</v>
      </c>
      <c r="B66" s="8">
        <v>2</v>
      </c>
    </row>
    <row r="67" spans="1:2" x14ac:dyDescent="0.3">
      <c r="A67" s="4" t="s">
        <v>22</v>
      </c>
      <c r="B67" s="8">
        <v>6</v>
      </c>
    </row>
    <row r="68" spans="1:2" x14ac:dyDescent="0.3">
      <c r="A68" s="4" t="s">
        <v>295</v>
      </c>
      <c r="B68" s="8">
        <v>13</v>
      </c>
    </row>
    <row r="69" spans="1:2" x14ac:dyDescent="0.3">
      <c r="A69" s="4" t="s">
        <v>191</v>
      </c>
      <c r="B69" s="8">
        <v>8</v>
      </c>
    </row>
    <row r="70" spans="1:2" x14ac:dyDescent="0.3">
      <c r="A70" s="4" t="s">
        <v>321</v>
      </c>
      <c r="B70" s="8">
        <v>4</v>
      </c>
    </row>
    <row r="71" spans="1:2" x14ac:dyDescent="0.3">
      <c r="A71" s="4" t="s">
        <v>71</v>
      </c>
      <c r="B71" s="8">
        <v>7</v>
      </c>
    </row>
    <row r="72" spans="1:2" x14ac:dyDescent="0.3">
      <c r="A72" s="4" t="s">
        <v>47</v>
      </c>
      <c r="B72" s="8">
        <v>7</v>
      </c>
    </row>
    <row r="73" spans="1:2" x14ac:dyDescent="0.3">
      <c r="A73" s="4" t="s">
        <v>55</v>
      </c>
      <c r="B73" s="8">
        <v>6</v>
      </c>
    </row>
    <row r="74" spans="1:2" x14ac:dyDescent="0.3">
      <c r="A74" s="4" t="s">
        <v>34</v>
      </c>
      <c r="B74" s="8">
        <v>9</v>
      </c>
    </row>
    <row r="75" spans="1:2" x14ac:dyDescent="0.3">
      <c r="A75" s="4" t="s">
        <v>323</v>
      </c>
      <c r="B75" s="8">
        <v>2</v>
      </c>
    </row>
    <row r="76" spans="1:2" x14ac:dyDescent="0.3">
      <c r="A76" s="4" t="s">
        <v>151</v>
      </c>
      <c r="B76" s="8">
        <v>7</v>
      </c>
    </row>
    <row r="77" spans="1:2" x14ac:dyDescent="0.3">
      <c r="A77" s="4" t="s">
        <v>166</v>
      </c>
      <c r="B77" s="8">
        <v>6</v>
      </c>
    </row>
    <row r="78" spans="1:2" x14ac:dyDescent="0.3">
      <c r="A78" s="4" t="s">
        <v>413</v>
      </c>
      <c r="B78" s="8">
        <v>1</v>
      </c>
    </row>
    <row r="79" spans="1:2" x14ac:dyDescent="0.3">
      <c r="A79" s="4" t="s">
        <v>242</v>
      </c>
      <c r="B79" s="8">
        <v>5</v>
      </c>
    </row>
    <row r="80" spans="1:2" x14ac:dyDescent="0.3">
      <c r="A80" s="4" t="s">
        <v>173</v>
      </c>
      <c r="B80" s="8">
        <v>11</v>
      </c>
    </row>
    <row r="81" spans="1:2" x14ac:dyDescent="0.3">
      <c r="A81" s="4" t="s">
        <v>202</v>
      </c>
      <c r="B81" s="8">
        <v>5</v>
      </c>
    </row>
    <row r="82" spans="1:2" x14ac:dyDescent="0.3">
      <c r="A82" s="4" t="s">
        <v>232</v>
      </c>
      <c r="B82" s="8">
        <v>6</v>
      </c>
    </row>
    <row r="83" spans="1:2" x14ac:dyDescent="0.3">
      <c r="A83" s="4" t="s">
        <v>177</v>
      </c>
      <c r="B83" s="8">
        <v>10</v>
      </c>
    </row>
    <row r="84" spans="1:2" x14ac:dyDescent="0.3">
      <c r="A84" s="4" t="s">
        <v>624</v>
      </c>
      <c r="B84" s="8">
        <v>500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28FA13-CF7B-4BC9-882F-B5EAF82AB4EE}">
  <dimension ref="B6:C14"/>
  <sheetViews>
    <sheetView workbookViewId="0">
      <selection activeCell="M11" sqref="M11"/>
    </sheetView>
  </sheetViews>
  <sheetFormatPr defaultRowHeight="14" x14ac:dyDescent="0.3"/>
  <cols>
    <col min="2" max="2" width="11.75" bestFit="1" customWidth="1"/>
    <col min="3" max="3" width="16.9140625" bestFit="1" customWidth="1"/>
  </cols>
  <sheetData>
    <row r="6" spans="2:3" x14ac:dyDescent="0.3">
      <c r="B6" s="3" t="s">
        <v>623</v>
      </c>
      <c r="C6" t="s">
        <v>625</v>
      </c>
    </row>
    <row r="7" spans="2:3" x14ac:dyDescent="0.3">
      <c r="B7" s="4" t="s">
        <v>627</v>
      </c>
      <c r="C7" s="5">
        <v>269342.5955</v>
      </c>
    </row>
    <row r="8" spans="2:3" x14ac:dyDescent="0.3">
      <c r="B8" s="4" t="s">
        <v>628</v>
      </c>
      <c r="C8" s="5">
        <v>247334.80649999995</v>
      </c>
    </row>
    <row r="9" spans="2:3" x14ac:dyDescent="0.3">
      <c r="B9" s="4" t="s">
        <v>629</v>
      </c>
      <c r="C9" s="5">
        <v>222517.61700000003</v>
      </c>
    </row>
    <row r="10" spans="2:3" x14ac:dyDescent="0.3">
      <c r="B10" s="4" t="s">
        <v>630</v>
      </c>
      <c r="C10" s="5">
        <v>233046.86250000005</v>
      </c>
    </row>
    <row r="11" spans="2:3" x14ac:dyDescent="0.3">
      <c r="B11" s="4" t="s">
        <v>631</v>
      </c>
      <c r="C11" s="5">
        <v>179979.3425</v>
      </c>
    </row>
    <row r="12" spans="2:3" x14ac:dyDescent="0.3">
      <c r="B12" s="4" t="s">
        <v>632</v>
      </c>
      <c r="C12" s="5">
        <v>228645.28649999996</v>
      </c>
    </row>
    <row r="13" spans="2:3" x14ac:dyDescent="0.3">
      <c r="B13" s="4" t="s">
        <v>633</v>
      </c>
      <c r="C13" s="5">
        <v>213201.1385</v>
      </c>
    </row>
    <row r="14" spans="2:3" x14ac:dyDescent="0.3">
      <c r="B14" s="4" t="s">
        <v>624</v>
      </c>
      <c r="C14" s="5">
        <v>1594067.6489999997</v>
      </c>
    </row>
  </sheetData>
  <pageMargins left="0.75" right="0.75" top="1" bottom="1" header="0.5" footer="0.5"/>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BA20E8-DDBA-4F9C-A7E1-1A344B161624}">
  <dimension ref="A3:B17"/>
  <sheetViews>
    <sheetView workbookViewId="0">
      <selection activeCell="N36" sqref="N36"/>
    </sheetView>
  </sheetViews>
  <sheetFormatPr defaultRowHeight="14" x14ac:dyDescent="0.3"/>
  <cols>
    <col min="1" max="1" width="11.75" bestFit="1" customWidth="1"/>
    <col min="2" max="2" width="16.9140625" bestFit="1" customWidth="1"/>
  </cols>
  <sheetData>
    <row r="3" spans="1:2" x14ac:dyDescent="0.3">
      <c r="A3" s="3" t="s">
        <v>623</v>
      </c>
      <c r="B3" t="s">
        <v>625</v>
      </c>
    </row>
    <row r="4" spans="1:2" x14ac:dyDescent="0.3">
      <c r="A4" s="4" t="s">
        <v>61</v>
      </c>
      <c r="B4" s="5">
        <v>146013.33350000001</v>
      </c>
    </row>
    <row r="5" spans="1:2" x14ac:dyDescent="0.3">
      <c r="A5" s="4" t="s">
        <v>19</v>
      </c>
      <c r="B5" s="5">
        <v>144030.18399999995</v>
      </c>
    </row>
    <row r="6" spans="1:2" x14ac:dyDescent="0.3">
      <c r="A6" s="4" t="s">
        <v>14</v>
      </c>
      <c r="B6" s="5">
        <v>152379.35949999999</v>
      </c>
    </row>
    <row r="7" spans="1:2" x14ac:dyDescent="0.3">
      <c r="A7" s="4" t="s">
        <v>36</v>
      </c>
      <c r="B7" s="5">
        <v>184687.03650000005</v>
      </c>
    </row>
    <row r="8" spans="1:2" x14ac:dyDescent="0.3">
      <c r="A8" s="4" t="s">
        <v>72</v>
      </c>
      <c r="B8" s="5">
        <v>76480.141499999983</v>
      </c>
    </row>
    <row r="9" spans="1:2" x14ac:dyDescent="0.3">
      <c r="A9" s="4" t="s">
        <v>51</v>
      </c>
      <c r="B9" s="5">
        <v>65104.290999999983</v>
      </c>
    </row>
    <row r="10" spans="1:2" x14ac:dyDescent="0.3">
      <c r="A10" s="4" t="s">
        <v>58</v>
      </c>
      <c r="B10" s="5">
        <v>119472.31149999998</v>
      </c>
    </row>
    <row r="11" spans="1:2" x14ac:dyDescent="0.3">
      <c r="A11" s="4" t="s">
        <v>63</v>
      </c>
      <c r="B11" s="5">
        <v>91800.945000000007</v>
      </c>
    </row>
    <row r="12" spans="1:2" x14ac:dyDescent="0.3">
      <c r="A12" s="4" t="s">
        <v>65</v>
      </c>
      <c r="B12" s="5">
        <v>101285.14200000002</v>
      </c>
    </row>
    <row r="13" spans="1:2" x14ac:dyDescent="0.3">
      <c r="A13" s="4" t="s">
        <v>30</v>
      </c>
      <c r="B13" s="5">
        <v>125285.3345</v>
      </c>
    </row>
    <row r="14" spans="1:2" x14ac:dyDescent="0.3">
      <c r="A14" s="4" t="s">
        <v>39</v>
      </c>
      <c r="B14" s="5">
        <v>139965.08649999995</v>
      </c>
    </row>
    <row r="15" spans="1:2" x14ac:dyDescent="0.3">
      <c r="A15" s="4" t="s">
        <v>43</v>
      </c>
      <c r="B15" s="5">
        <v>105347.54699999999</v>
      </c>
    </row>
    <row r="16" spans="1:2" x14ac:dyDescent="0.3">
      <c r="A16" s="4" t="s">
        <v>25</v>
      </c>
      <c r="B16" s="5">
        <v>142216.93649999998</v>
      </c>
    </row>
    <row r="17" spans="1:2" x14ac:dyDescent="0.3">
      <c r="A17" s="4" t="s">
        <v>624</v>
      </c>
      <c r="B17" s="5">
        <v>1594067.649</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A51449-EF07-45F5-AE45-C7899482C032}">
  <dimension ref="M35:N38"/>
  <sheetViews>
    <sheetView showGridLines="0" tabSelected="1" workbookViewId="0">
      <selection activeCell="AA33" sqref="AA33"/>
    </sheetView>
  </sheetViews>
  <sheetFormatPr defaultRowHeight="14" x14ac:dyDescent="0.3"/>
  <sheetData>
    <row r="35" spans="13:14" x14ac:dyDescent="0.3">
      <c r="M35" s="1"/>
      <c r="N35" s="2"/>
    </row>
    <row r="36" spans="13:14" x14ac:dyDescent="0.3">
      <c r="M36" s="1"/>
      <c r="N36" s="2"/>
    </row>
    <row r="37" spans="13:14" x14ac:dyDescent="0.3">
      <c r="M37" s="1"/>
      <c r="N37" s="2"/>
    </row>
    <row r="38" spans="13:14" x14ac:dyDescent="0.3">
      <c r="M38" s="1"/>
      <c r="N38" s="2"/>
    </row>
  </sheetData>
  <pageMargins left="0.75" right="0.75" top="1" bottom="1" header="0.5" footer="0.5"/>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8</vt:i4>
      </vt:variant>
    </vt:vector>
  </HeadingPairs>
  <TitlesOfParts>
    <vt:vector size="16" baseType="lpstr">
      <vt:lpstr>Sales_Data</vt:lpstr>
      <vt:lpstr>SalesByRegion</vt:lpstr>
      <vt:lpstr>SalesByProductCategory</vt:lpstr>
      <vt:lpstr>SalesByPerson</vt:lpstr>
      <vt:lpstr>No of Order</vt:lpstr>
      <vt:lpstr>MonthlySales</vt:lpstr>
      <vt:lpstr>ProductPerformance</vt:lpstr>
      <vt:lpstr>DashBoard</vt:lpstr>
      <vt:lpstr>DashBoard!Saleamount</vt:lpstr>
      <vt:lpstr>MonthlySales!Saleamount</vt:lpstr>
      <vt:lpstr>SalesByPerson!Saleamount</vt:lpstr>
      <vt:lpstr>Saleamount</vt:lpstr>
      <vt:lpstr>DashBoard!SalesAmount</vt:lpstr>
      <vt:lpstr>MonthlySales!SalesAmount</vt:lpstr>
      <vt:lpstr>SalesByPerson!SalesAmount</vt:lpstr>
      <vt:lpstr>SalesAmount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Samuel Adedeji</cp:lastModifiedBy>
  <dcterms:created xsi:type="dcterms:W3CDTF">2026-08-03T10:20:34Z</dcterms:created>
  <dcterms:modified xsi:type="dcterms:W3CDTF">2026-08-20T23:35:31Z</dcterms:modified>
</cp:coreProperties>
</file>